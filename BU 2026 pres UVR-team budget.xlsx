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/>
  <mc:AlternateContent xmlns:mc="http://schemas.openxmlformats.org/markup-compatibility/2006">
    <mc:Choice Requires="x15">
      <x15ac:absPath xmlns:x15ac="http://schemas.microsoft.com/office/spreadsheetml/2010/11/ac" url="\\srv1.sp.local\Ekonomi\Budget\Budget 2026\Adj\"/>
    </mc:Choice>
  </mc:AlternateContent>
  <xr:revisionPtr revIDLastSave="0" documentId="8_{F9815913-2C5F-2946-8040-E42A9206930C}" xr6:coauthVersionLast="47" xr6:coauthVersionMax="47" xr10:uidLastSave="{00000000-0000-0000-0000-000000000000}"/>
  <bookViews>
    <workbookView xWindow="28680" yWindow="300" windowWidth="25440" windowHeight="15270" xr2:uid="{F5024346-AE2C-438A-96C9-5F1EB869805E}"/>
  </bookViews>
  <sheets>
    <sheet name="RR BU Koncern legal IC UVXair" sheetId="1" r:id="rId1"/>
    <sheet name="Sälj" sheetId="2" r:id="rId2"/>
    <sheet name="Produktion dir+lager" sheetId="3" r:id="rId3"/>
    <sheet name="Produktion OH " sheetId="4" r:id="rId4"/>
    <sheet name="Produktutveckling" sheetId="5" r:id="rId5"/>
    <sheet name="Admin" sheetId="6" r:id="rId6"/>
    <sheet name="Ny lokal" sheetId="7" r:id="rId7"/>
    <sheet name="CAPEX" sheetId="8" r:id="rId8"/>
  </sheets>
  <externalReferences>
    <externalReference r:id="rId9"/>
  </externalReferences>
  <definedNames>
    <definedName name="helpfi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7" l="1"/>
  <c r="P109" i="7"/>
  <c r="O109" i="7"/>
  <c r="N109" i="7"/>
  <c r="M109" i="7"/>
  <c r="L109" i="7"/>
  <c r="K109" i="7"/>
  <c r="J109" i="7"/>
  <c r="I109" i="7"/>
  <c r="H109" i="7"/>
  <c r="G109" i="7"/>
  <c r="F109" i="7"/>
  <c r="J108" i="7"/>
  <c r="I108" i="7"/>
  <c r="H108" i="7"/>
  <c r="G108" i="7"/>
  <c r="F108" i="7"/>
  <c r="J106" i="7"/>
  <c r="I106" i="7"/>
  <c r="H106" i="7"/>
  <c r="G106" i="7"/>
  <c r="F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D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Q9" i="7"/>
  <c r="P9" i="7"/>
  <c r="O9" i="7"/>
  <c r="N9" i="7"/>
  <c r="M9" i="7"/>
  <c r="AC9" i="4"/>
  <c r="L9" i="7"/>
  <c r="R8" i="7"/>
  <c r="R7" i="7"/>
  <c r="R6" i="7"/>
  <c r="R5" i="7"/>
  <c r="Q4" i="7"/>
  <c r="P4" i="7"/>
  <c r="O4" i="7"/>
  <c r="AE4" i="4"/>
  <c r="N4" i="7"/>
  <c r="M4" i="7"/>
  <c r="M106" i="7"/>
  <c r="L4" i="7"/>
  <c r="AB4" i="4"/>
  <c r="K4" i="7"/>
  <c r="R3" i="7"/>
  <c r="Q2" i="7"/>
  <c r="Q108" i="7"/>
  <c r="P2" i="7"/>
  <c r="O2" i="7"/>
  <c r="N2" i="7"/>
  <c r="AD2" i="4"/>
  <c r="M2" i="7"/>
  <c r="L2" i="7"/>
  <c r="K2" i="7"/>
  <c r="Q109" i="6"/>
  <c r="P109" i="6"/>
  <c r="O109" i="6"/>
  <c r="N109" i="6"/>
  <c r="M109" i="6"/>
  <c r="L109" i="6"/>
  <c r="K109" i="6"/>
  <c r="J109" i="6"/>
  <c r="I109" i="6"/>
  <c r="H109" i="6"/>
  <c r="G109" i="6"/>
  <c r="F109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Q71" i="6"/>
  <c r="P71" i="6"/>
  <c r="O71" i="6"/>
  <c r="N71" i="6"/>
  <c r="M71" i="6"/>
  <c r="L71" i="6"/>
  <c r="K71" i="6"/>
  <c r="J71" i="6"/>
  <c r="I71" i="6"/>
  <c r="H71" i="6"/>
  <c r="G71" i="6"/>
  <c r="F71" i="6"/>
  <c r="R70" i="6"/>
  <c r="R69" i="6"/>
  <c r="R68" i="6"/>
  <c r="Q67" i="6"/>
  <c r="P67" i="6"/>
  <c r="O67" i="6"/>
  <c r="N67" i="6"/>
  <c r="M67" i="6"/>
  <c r="L67" i="6"/>
  <c r="K67" i="6"/>
  <c r="J67" i="6"/>
  <c r="I67" i="6"/>
  <c r="H67" i="6"/>
  <c r="G67" i="6"/>
  <c r="F67" i="6"/>
  <c r="D67" i="6"/>
  <c r="R66" i="6"/>
  <c r="R65" i="6"/>
  <c r="R64" i="6"/>
  <c r="R63" i="6"/>
  <c r="R62" i="6"/>
  <c r="R61" i="6"/>
  <c r="Q60" i="6"/>
  <c r="P60" i="6"/>
  <c r="O60" i="6"/>
  <c r="N60" i="6"/>
  <c r="M60" i="6"/>
  <c r="L60" i="6"/>
  <c r="K60" i="6"/>
  <c r="J60" i="6"/>
  <c r="I60" i="6"/>
  <c r="H60" i="6"/>
  <c r="G60" i="6"/>
  <c r="G108" i="6"/>
  <c r="F60" i="6"/>
  <c r="R59" i="6"/>
  <c r="R58" i="6"/>
  <c r="R57" i="6"/>
  <c r="Q56" i="6"/>
  <c r="P56" i="6"/>
  <c r="O56" i="6"/>
  <c r="N56" i="6"/>
  <c r="M56" i="6"/>
  <c r="L56" i="6"/>
  <c r="K56" i="6"/>
  <c r="J56" i="6"/>
  <c r="I56" i="6"/>
  <c r="H56" i="6"/>
  <c r="G56" i="6"/>
  <c r="F56" i="6"/>
  <c r="R55" i="6"/>
  <c r="R54" i="6"/>
  <c r="Q53" i="6"/>
  <c r="P53" i="6"/>
  <c r="O53" i="6"/>
  <c r="N53" i="6"/>
  <c r="M53" i="6"/>
  <c r="L53" i="6"/>
  <c r="K53" i="6"/>
  <c r="J53" i="6"/>
  <c r="I53" i="6"/>
  <c r="H53" i="6"/>
  <c r="G53" i="6"/>
  <c r="F53" i="6"/>
  <c r="R52" i="6"/>
  <c r="Q51" i="6"/>
  <c r="P51" i="6"/>
  <c r="O51" i="6"/>
  <c r="N51" i="6"/>
  <c r="M51" i="6"/>
  <c r="L51" i="6"/>
  <c r="K51" i="6"/>
  <c r="J51" i="6"/>
  <c r="I51" i="6"/>
  <c r="H51" i="6"/>
  <c r="G51" i="6"/>
  <c r="F51" i="6"/>
  <c r="R50" i="6"/>
  <c r="R49" i="6"/>
  <c r="R48" i="6"/>
  <c r="Q47" i="6"/>
  <c r="P47" i="6"/>
  <c r="O47" i="6"/>
  <c r="N47" i="6"/>
  <c r="M47" i="6"/>
  <c r="L47" i="6"/>
  <c r="K47" i="6"/>
  <c r="J47" i="6"/>
  <c r="J106" i="6"/>
  <c r="I47" i="6"/>
  <c r="H47" i="6"/>
  <c r="G47" i="6"/>
  <c r="F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Q12" i="6"/>
  <c r="Q106" i="6"/>
  <c r="P12" i="6"/>
  <c r="O12" i="6"/>
  <c r="N12" i="6"/>
  <c r="M12" i="6"/>
  <c r="M106" i="6"/>
  <c r="L12" i="6"/>
  <c r="K12" i="6"/>
  <c r="J12" i="6"/>
  <c r="I12" i="6"/>
  <c r="H12" i="6"/>
  <c r="G12" i="6"/>
  <c r="F12" i="6"/>
  <c r="R11" i="6"/>
  <c r="R10" i="6"/>
  <c r="R9" i="6"/>
  <c r="R8" i="6"/>
  <c r="R7" i="6"/>
  <c r="R6" i="6"/>
  <c r="R5" i="6"/>
  <c r="R4" i="6"/>
  <c r="R3" i="6"/>
  <c r="R2" i="6"/>
  <c r="R104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R102" i="5"/>
  <c r="R101" i="5"/>
  <c r="R100" i="5"/>
  <c r="R99" i="5"/>
  <c r="R98" i="5"/>
  <c r="R97" i="5"/>
  <c r="R96" i="5"/>
  <c r="G95" i="5"/>
  <c r="H93" i="5"/>
  <c r="G93" i="5"/>
  <c r="F93" i="5"/>
  <c r="R92" i="5"/>
  <c r="R91" i="5"/>
  <c r="H90" i="5"/>
  <c r="H95" i="5"/>
  <c r="G90" i="5"/>
  <c r="F90" i="5"/>
  <c r="F95" i="5"/>
  <c r="R89" i="5"/>
  <c r="R88" i="5"/>
  <c r="R87" i="5"/>
  <c r="R86" i="5"/>
  <c r="R85" i="5"/>
  <c r="R84" i="5"/>
  <c r="R83" i="5"/>
  <c r="R82" i="5"/>
  <c r="R81" i="5"/>
  <c r="H80" i="5"/>
  <c r="G80" i="5"/>
  <c r="F80" i="5"/>
  <c r="H79" i="5"/>
  <c r="G79" i="5"/>
  <c r="F79" i="5"/>
  <c r="R78" i="5"/>
  <c r="R77" i="5"/>
  <c r="Q76" i="5"/>
  <c r="Q93" i="5"/>
  <c r="P76" i="5"/>
  <c r="P93" i="5"/>
  <c r="O76" i="5"/>
  <c r="O93" i="5"/>
  <c r="N76" i="5"/>
  <c r="M76" i="5"/>
  <c r="M80" i="5"/>
  <c r="L76" i="5"/>
  <c r="L90" i="5"/>
  <c r="L95" i="5"/>
  <c r="K76" i="5"/>
  <c r="K90" i="5"/>
  <c r="K95" i="5"/>
  <c r="J76" i="5"/>
  <c r="J93" i="5"/>
  <c r="I76" i="5"/>
  <c r="R75" i="5"/>
  <c r="R74" i="5"/>
  <c r="R73" i="5"/>
  <c r="R72" i="5"/>
  <c r="R71" i="5"/>
  <c r="R70" i="5"/>
  <c r="R69" i="5"/>
  <c r="R68" i="5"/>
  <c r="R67" i="5"/>
  <c r="D67" i="5"/>
  <c r="P66" i="5"/>
  <c r="N66" i="5"/>
  <c r="L66" i="5"/>
  <c r="J66" i="5"/>
  <c r="H66" i="5"/>
  <c r="F66" i="5"/>
  <c r="Q65" i="5"/>
  <c r="P65" i="5"/>
  <c r="O65" i="5"/>
  <c r="N65" i="5"/>
  <c r="M65" i="5"/>
  <c r="L65" i="5"/>
  <c r="K65" i="5"/>
  <c r="J65" i="5"/>
  <c r="I65" i="5"/>
  <c r="H65" i="5"/>
  <c r="G65" i="5"/>
  <c r="G108" i="5"/>
  <c r="F65" i="5"/>
  <c r="F108" i="5"/>
  <c r="R64" i="5"/>
  <c r="R63" i="5"/>
  <c r="R62" i="5"/>
  <c r="R61" i="5"/>
  <c r="Q60" i="5"/>
  <c r="P60" i="5"/>
  <c r="O60" i="5"/>
  <c r="N60" i="5"/>
  <c r="M60" i="5"/>
  <c r="L60" i="5"/>
  <c r="K60" i="5"/>
  <c r="K108" i="5"/>
  <c r="J60" i="5"/>
  <c r="I60" i="5"/>
  <c r="I108" i="5"/>
  <c r="H60" i="5"/>
  <c r="G60" i="5"/>
  <c r="F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R104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R103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R102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R101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R100" i="4"/>
  <c r="AG99" i="4"/>
  <c r="AF99" i="4"/>
  <c r="AE99" i="4"/>
  <c r="AD99" i="4"/>
  <c r="AC99" i="4"/>
  <c r="AB99" i="4"/>
  <c r="AA99" i="4"/>
  <c r="Z99" i="4"/>
  <c r="Y99" i="4"/>
  <c r="X99" i="4"/>
  <c r="W99" i="4"/>
  <c r="V99" i="4"/>
  <c r="R99" i="4"/>
  <c r="AG98" i="4"/>
  <c r="AF98" i="4"/>
  <c r="AE98" i="4"/>
  <c r="AD98" i="4"/>
  <c r="AC98" i="4"/>
  <c r="AB98" i="4"/>
  <c r="AA98" i="4"/>
  <c r="Z98" i="4"/>
  <c r="Y98" i="4"/>
  <c r="X98" i="4"/>
  <c r="W98" i="4"/>
  <c r="V98" i="4"/>
  <c r="R98" i="4"/>
  <c r="AG97" i="4"/>
  <c r="AF97" i="4"/>
  <c r="AE97" i="4"/>
  <c r="AD97" i="4"/>
  <c r="AC97" i="4"/>
  <c r="AB97" i="4"/>
  <c r="AA97" i="4"/>
  <c r="Z97" i="4"/>
  <c r="Y97" i="4"/>
  <c r="X97" i="4"/>
  <c r="W97" i="4"/>
  <c r="V97" i="4"/>
  <c r="R97" i="4"/>
  <c r="AG96" i="4"/>
  <c r="AF96" i="4"/>
  <c r="AE96" i="4"/>
  <c r="AD96" i="4"/>
  <c r="AC96" i="4"/>
  <c r="AB96" i="4"/>
  <c r="AA96" i="4"/>
  <c r="Z96" i="4"/>
  <c r="Y96" i="4"/>
  <c r="X96" i="4"/>
  <c r="W96" i="4"/>
  <c r="V96" i="4"/>
  <c r="R96" i="4"/>
  <c r="G93" i="4"/>
  <c r="W93" i="4"/>
  <c r="F93" i="4"/>
  <c r="AG92" i="4"/>
  <c r="AF92" i="4"/>
  <c r="AE92" i="4"/>
  <c r="AD92" i="4"/>
  <c r="AC92" i="4"/>
  <c r="AB92" i="4"/>
  <c r="AA92" i="4"/>
  <c r="Z92" i="4"/>
  <c r="Y92" i="4"/>
  <c r="X92" i="4"/>
  <c r="W92" i="4"/>
  <c r="V92" i="4"/>
  <c r="R92" i="4"/>
  <c r="AG91" i="4"/>
  <c r="AF91" i="4"/>
  <c r="AE91" i="4"/>
  <c r="AD91" i="4"/>
  <c r="AC91" i="4"/>
  <c r="AB91" i="4"/>
  <c r="AA91" i="4"/>
  <c r="Z91" i="4"/>
  <c r="Y91" i="4"/>
  <c r="X91" i="4"/>
  <c r="W91" i="4"/>
  <c r="V91" i="4"/>
  <c r="R91" i="4"/>
  <c r="AG89" i="4"/>
  <c r="AF89" i="4"/>
  <c r="AE89" i="4"/>
  <c r="AD89" i="4"/>
  <c r="AC89" i="4"/>
  <c r="AB89" i="4"/>
  <c r="AA89" i="4"/>
  <c r="Z89" i="4"/>
  <c r="Y89" i="4"/>
  <c r="X89" i="4"/>
  <c r="W89" i="4"/>
  <c r="V89" i="4"/>
  <c r="R89" i="4"/>
  <c r="AG88" i="4"/>
  <c r="AF88" i="4"/>
  <c r="AE88" i="4"/>
  <c r="AD88" i="4"/>
  <c r="AC88" i="4"/>
  <c r="AB88" i="4"/>
  <c r="AA88" i="4"/>
  <c r="Z88" i="4"/>
  <c r="Y88" i="4"/>
  <c r="X88" i="4"/>
  <c r="W88" i="4"/>
  <c r="V88" i="4"/>
  <c r="R88" i="4"/>
  <c r="AG87" i="4"/>
  <c r="AF87" i="4"/>
  <c r="AE87" i="4"/>
  <c r="AD87" i="4"/>
  <c r="AC87" i="4"/>
  <c r="AB87" i="4"/>
  <c r="AA87" i="4"/>
  <c r="Z87" i="4"/>
  <c r="Y87" i="4"/>
  <c r="X87" i="4"/>
  <c r="W87" i="4"/>
  <c r="V87" i="4"/>
  <c r="R87" i="4"/>
  <c r="AG86" i="4"/>
  <c r="AF86" i="4"/>
  <c r="AE86" i="4"/>
  <c r="AD86" i="4"/>
  <c r="AC86" i="4"/>
  <c r="AB86" i="4"/>
  <c r="AA86" i="4"/>
  <c r="Z86" i="4"/>
  <c r="Y86" i="4"/>
  <c r="X86" i="4"/>
  <c r="W86" i="4"/>
  <c r="V86" i="4"/>
  <c r="R86" i="4"/>
  <c r="AG85" i="4"/>
  <c r="AF85" i="4"/>
  <c r="AE85" i="4"/>
  <c r="AD85" i="4"/>
  <c r="AC85" i="4"/>
  <c r="AB85" i="4"/>
  <c r="AA85" i="4"/>
  <c r="Z85" i="4"/>
  <c r="Y85" i="4"/>
  <c r="X85" i="4"/>
  <c r="W85" i="4"/>
  <c r="V85" i="4"/>
  <c r="R85" i="4"/>
  <c r="AG84" i="4"/>
  <c r="AF84" i="4"/>
  <c r="AE84" i="4"/>
  <c r="AD84" i="4"/>
  <c r="AC84" i="4"/>
  <c r="AB84" i="4"/>
  <c r="AA84" i="4"/>
  <c r="Z84" i="4"/>
  <c r="Y84" i="4"/>
  <c r="X84" i="4"/>
  <c r="W84" i="4"/>
  <c r="V84" i="4"/>
  <c r="R84" i="4"/>
  <c r="AG83" i="4"/>
  <c r="AF83" i="4"/>
  <c r="AE83" i="4"/>
  <c r="AD83" i="4"/>
  <c r="AC83" i="4"/>
  <c r="AB83" i="4"/>
  <c r="AA83" i="4"/>
  <c r="Z83" i="4"/>
  <c r="Y83" i="4"/>
  <c r="X83" i="4"/>
  <c r="W83" i="4"/>
  <c r="V83" i="4"/>
  <c r="R83" i="4"/>
  <c r="AG82" i="4"/>
  <c r="AF82" i="4"/>
  <c r="AE82" i="4"/>
  <c r="AD82" i="4"/>
  <c r="AC82" i="4"/>
  <c r="AB82" i="4"/>
  <c r="AA82" i="4"/>
  <c r="Z82" i="4"/>
  <c r="Y82" i="4"/>
  <c r="X82" i="4"/>
  <c r="W82" i="4"/>
  <c r="V82" i="4"/>
  <c r="R82" i="4"/>
  <c r="AG81" i="4"/>
  <c r="AF81" i="4"/>
  <c r="AE81" i="4"/>
  <c r="AD81" i="4"/>
  <c r="AC81" i="4"/>
  <c r="AB81" i="4"/>
  <c r="AA81" i="4"/>
  <c r="Z81" i="4"/>
  <c r="Y81" i="4"/>
  <c r="X81" i="4"/>
  <c r="W81" i="4"/>
  <c r="V81" i="4"/>
  <c r="R81" i="4"/>
  <c r="F80" i="4"/>
  <c r="V80" i="4"/>
  <c r="F79" i="4"/>
  <c r="V79" i="4"/>
  <c r="AG78" i="4"/>
  <c r="AF78" i="4"/>
  <c r="AE78" i="4"/>
  <c r="AD78" i="4"/>
  <c r="AC78" i="4"/>
  <c r="AB78" i="4"/>
  <c r="AA78" i="4"/>
  <c r="Z78" i="4"/>
  <c r="Y78" i="4"/>
  <c r="X78" i="4"/>
  <c r="W78" i="4"/>
  <c r="V78" i="4"/>
  <c r="R78" i="4"/>
  <c r="AG77" i="4"/>
  <c r="AF77" i="4"/>
  <c r="AE77" i="4"/>
  <c r="AD77" i="4"/>
  <c r="AC77" i="4"/>
  <c r="AB77" i="4"/>
  <c r="AA77" i="4"/>
  <c r="Z77" i="4"/>
  <c r="Y77" i="4"/>
  <c r="X77" i="4"/>
  <c r="W77" i="4"/>
  <c r="V77" i="4"/>
  <c r="R77" i="4"/>
  <c r="AE76" i="4"/>
  <c r="AD76" i="4"/>
  <c r="Q76" i="4"/>
  <c r="Q90" i="4"/>
  <c r="P76" i="4"/>
  <c r="P79" i="4"/>
  <c r="AF79" i="4"/>
  <c r="O76" i="4"/>
  <c r="O80" i="4"/>
  <c r="N76" i="4"/>
  <c r="M76" i="4"/>
  <c r="AC76" i="4"/>
  <c r="L76" i="4"/>
  <c r="L79" i="4"/>
  <c r="AB79" i="4"/>
  <c r="K76" i="4"/>
  <c r="AA76" i="4"/>
  <c r="J76" i="4"/>
  <c r="J90" i="4"/>
  <c r="I76" i="4"/>
  <c r="Y76" i="4"/>
  <c r="H76" i="4"/>
  <c r="H90" i="4"/>
  <c r="X90" i="4"/>
  <c r="G76" i="4"/>
  <c r="F76" i="4"/>
  <c r="F90" i="4"/>
  <c r="AG75" i="4"/>
  <c r="AF75" i="4"/>
  <c r="AE75" i="4"/>
  <c r="AD75" i="4"/>
  <c r="AC75" i="4"/>
  <c r="AB75" i="4"/>
  <c r="AA75" i="4"/>
  <c r="Z75" i="4"/>
  <c r="Y75" i="4"/>
  <c r="X75" i="4"/>
  <c r="W75" i="4"/>
  <c r="V75" i="4"/>
  <c r="R75" i="4"/>
  <c r="AG74" i="4"/>
  <c r="AF74" i="4"/>
  <c r="AE74" i="4"/>
  <c r="AD74" i="4"/>
  <c r="AC74" i="4"/>
  <c r="AB74" i="4"/>
  <c r="AA74" i="4"/>
  <c r="Z74" i="4"/>
  <c r="Y74" i="4"/>
  <c r="X74" i="4"/>
  <c r="W74" i="4"/>
  <c r="V74" i="4"/>
  <c r="R74" i="4"/>
  <c r="AG73" i="4"/>
  <c r="AF73" i="4"/>
  <c r="AE73" i="4"/>
  <c r="AD73" i="4"/>
  <c r="AC73" i="4"/>
  <c r="AB73" i="4"/>
  <c r="AA73" i="4"/>
  <c r="Z73" i="4"/>
  <c r="Y73" i="4"/>
  <c r="X73" i="4"/>
  <c r="W73" i="4"/>
  <c r="V73" i="4"/>
  <c r="R73" i="4"/>
  <c r="AG72" i="4"/>
  <c r="AF72" i="4"/>
  <c r="AE72" i="4"/>
  <c r="AD72" i="4"/>
  <c r="AC72" i="4"/>
  <c r="AB72" i="4"/>
  <c r="AA72" i="4"/>
  <c r="Z72" i="4"/>
  <c r="Y72" i="4"/>
  <c r="X72" i="4"/>
  <c r="W72" i="4"/>
  <c r="V72" i="4"/>
  <c r="R72" i="4"/>
  <c r="AG71" i="4"/>
  <c r="AF71" i="4"/>
  <c r="AE71" i="4"/>
  <c r="AD71" i="4"/>
  <c r="AC71" i="4"/>
  <c r="AB71" i="4"/>
  <c r="AA71" i="4"/>
  <c r="Z71" i="4"/>
  <c r="Y71" i="4"/>
  <c r="X71" i="4"/>
  <c r="W71" i="4"/>
  <c r="V71" i="4"/>
  <c r="R71" i="4"/>
  <c r="AG70" i="4"/>
  <c r="AF70" i="4"/>
  <c r="AE70" i="4"/>
  <c r="AD70" i="4"/>
  <c r="AC70" i="4"/>
  <c r="AB70" i="4"/>
  <c r="AA70" i="4"/>
  <c r="Z70" i="4"/>
  <c r="Y70" i="4"/>
  <c r="X70" i="4"/>
  <c r="W70" i="4"/>
  <c r="V70" i="4"/>
  <c r="R70" i="4"/>
  <c r="AG69" i="4"/>
  <c r="AF69" i="4"/>
  <c r="AE69" i="4"/>
  <c r="AD69" i="4"/>
  <c r="AC69" i="4"/>
  <c r="AB69" i="4"/>
  <c r="AA69" i="4"/>
  <c r="Z69" i="4"/>
  <c r="Y69" i="4"/>
  <c r="X69" i="4"/>
  <c r="W69" i="4"/>
  <c r="V69" i="4"/>
  <c r="R69" i="4"/>
  <c r="AG68" i="4"/>
  <c r="AF68" i="4"/>
  <c r="AE68" i="4"/>
  <c r="AD68" i="4"/>
  <c r="AC68" i="4"/>
  <c r="AB68" i="4"/>
  <c r="AA68" i="4"/>
  <c r="Z68" i="4"/>
  <c r="Y68" i="4"/>
  <c r="X68" i="4"/>
  <c r="W68" i="4"/>
  <c r="V68" i="4"/>
  <c r="R68" i="4"/>
  <c r="AG67" i="4"/>
  <c r="AF67" i="4"/>
  <c r="AE67" i="4"/>
  <c r="AD67" i="4"/>
  <c r="AC67" i="4"/>
  <c r="AB67" i="4"/>
  <c r="AA67" i="4"/>
  <c r="Z67" i="4"/>
  <c r="Y67" i="4"/>
  <c r="X67" i="4"/>
  <c r="W67" i="4"/>
  <c r="V67" i="4"/>
  <c r="R67" i="4"/>
  <c r="D67" i="4"/>
  <c r="AG66" i="4"/>
  <c r="AF66" i="4"/>
  <c r="AE66" i="4"/>
  <c r="AD66" i="4"/>
  <c r="AC66" i="4"/>
  <c r="AB66" i="4"/>
  <c r="AA66" i="4"/>
  <c r="Z66" i="4"/>
  <c r="Y66" i="4"/>
  <c r="X66" i="4"/>
  <c r="W66" i="4"/>
  <c r="V66" i="4"/>
  <c r="R66" i="4"/>
  <c r="AG65" i="4"/>
  <c r="AF65" i="4"/>
  <c r="AE65" i="4"/>
  <c r="AD65" i="4"/>
  <c r="AC65" i="4"/>
  <c r="AB65" i="4"/>
  <c r="AA65" i="4"/>
  <c r="Z65" i="4"/>
  <c r="Y65" i="4"/>
  <c r="X65" i="4"/>
  <c r="W65" i="4"/>
  <c r="V65" i="4"/>
  <c r="R65" i="4"/>
  <c r="AG64" i="4"/>
  <c r="AF64" i="4"/>
  <c r="AE64" i="4"/>
  <c r="AD64" i="4"/>
  <c r="AC64" i="4"/>
  <c r="AB64" i="4"/>
  <c r="AA64" i="4"/>
  <c r="Z64" i="4"/>
  <c r="Y64" i="4"/>
  <c r="X64" i="4"/>
  <c r="W64" i="4"/>
  <c r="V64" i="4"/>
  <c r="R64" i="4"/>
  <c r="AG63" i="4"/>
  <c r="AF63" i="4"/>
  <c r="AE63" i="4"/>
  <c r="AD63" i="4"/>
  <c r="AC63" i="4"/>
  <c r="AB63" i="4"/>
  <c r="AA63" i="4"/>
  <c r="Z63" i="4"/>
  <c r="Y63" i="4"/>
  <c r="X63" i="4"/>
  <c r="W63" i="4"/>
  <c r="V63" i="4"/>
  <c r="R63" i="4"/>
  <c r="AG62" i="4"/>
  <c r="AF62" i="4"/>
  <c r="AE62" i="4"/>
  <c r="AD62" i="4"/>
  <c r="AC62" i="4"/>
  <c r="AB62" i="4"/>
  <c r="AA62" i="4"/>
  <c r="Z62" i="4"/>
  <c r="Y62" i="4"/>
  <c r="X62" i="4"/>
  <c r="W62" i="4"/>
  <c r="V62" i="4"/>
  <c r="R62" i="4"/>
  <c r="AG61" i="4"/>
  <c r="AF61" i="4"/>
  <c r="AE61" i="4"/>
  <c r="AD61" i="4"/>
  <c r="AC61" i="4"/>
  <c r="AB61" i="4"/>
  <c r="AA61" i="4"/>
  <c r="Z61" i="4"/>
  <c r="Y61" i="4"/>
  <c r="X61" i="4"/>
  <c r="W61" i="4"/>
  <c r="V61" i="4"/>
  <c r="R61" i="4"/>
  <c r="AG60" i="4"/>
  <c r="AF60" i="4"/>
  <c r="AE60" i="4"/>
  <c r="AD60" i="4"/>
  <c r="AC60" i="4"/>
  <c r="AB60" i="4"/>
  <c r="AA60" i="4"/>
  <c r="Z60" i="4"/>
  <c r="Y60" i="4"/>
  <c r="X60" i="4"/>
  <c r="W60" i="4"/>
  <c r="V60" i="4"/>
  <c r="R60" i="4"/>
  <c r="AG59" i="4"/>
  <c r="AF59" i="4"/>
  <c r="AE59" i="4"/>
  <c r="AD59" i="4"/>
  <c r="AC59" i="4"/>
  <c r="AB59" i="4"/>
  <c r="AA59" i="4"/>
  <c r="Z59" i="4"/>
  <c r="Y59" i="4"/>
  <c r="X59" i="4"/>
  <c r="W59" i="4"/>
  <c r="V59" i="4"/>
  <c r="R59" i="4"/>
  <c r="AG58" i="4"/>
  <c r="AF58" i="4"/>
  <c r="AE58" i="4"/>
  <c r="AD58" i="4"/>
  <c r="AC58" i="4"/>
  <c r="AB58" i="4"/>
  <c r="AA58" i="4"/>
  <c r="Z58" i="4"/>
  <c r="Y58" i="4"/>
  <c r="X58" i="4"/>
  <c r="W58" i="4"/>
  <c r="V58" i="4"/>
  <c r="R58" i="4"/>
  <c r="AG57" i="4"/>
  <c r="AF57" i="4"/>
  <c r="AE57" i="4"/>
  <c r="AD57" i="4"/>
  <c r="AC57" i="4"/>
  <c r="AB57" i="4"/>
  <c r="AA57" i="4"/>
  <c r="Z57" i="4"/>
  <c r="Y57" i="4"/>
  <c r="X57" i="4"/>
  <c r="W57" i="4"/>
  <c r="V57" i="4"/>
  <c r="R57" i="4"/>
  <c r="AG56" i="4"/>
  <c r="AF56" i="4"/>
  <c r="AE56" i="4"/>
  <c r="AD56" i="4"/>
  <c r="AC56" i="4"/>
  <c r="AB56" i="4"/>
  <c r="AA56" i="4"/>
  <c r="Z56" i="4"/>
  <c r="Y56" i="4"/>
  <c r="X56" i="4"/>
  <c r="W56" i="4"/>
  <c r="V56" i="4"/>
  <c r="R56" i="4"/>
  <c r="AG55" i="4"/>
  <c r="AF55" i="4"/>
  <c r="AE55" i="4"/>
  <c r="AD55" i="4"/>
  <c r="AC55" i="4"/>
  <c r="AB55" i="4"/>
  <c r="AA55" i="4"/>
  <c r="Z55" i="4"/>
  <c r="Y55" i="4"/>
  <c r="X55" i="4"/>
  <c r="W55" i="4"/>
  <c r="V55" i="4"/>
  <c r="R55" i="4"/>
  <c r="AG54" i="4"/>
  <c r="AF54" i="4"/>
  <c r="AE54" i="4"/>
  <c r="AD54" i="4"/>
  <c r="AC54" i="4"/>
  <c r="AB54" i="4"/>
  <c r="AA54" i="4"/>
  <c r="Z54" i="4"/>
  <c r="Y54" i="4"/>
  <c r="X54" i="4"/>
  <c r="W54" i="4"/>
  <c r="V54" i="4"/>
  <c r="R54" i="4"/>
  <c r="AG53" i="4"/>
  <c r="AF53" i="4"/>
  <c r="AE53" i="4"/>
  <c r="AD53" i="4"/>
  <c r="AC53" i="4"/>
  <c r="AB53" i="4"/>
  <c r="AA53" i="4"/>
  <c r="Z53" i="4"/>
  <c r="Y53" i="4"/>
  <c r="X53" i="4"/>
  <c r="W53" i="4"/>
  <c r="V53" i="4"/>
  <c r="R53" i="4"/>
  <c r="AG52" i="4"/>
  <c r="AF52" i="4"/>
  <c r="AE52" i="4"/>
  <c r="AD52" i="4"/>
  <c r="AC52" i="4"/>
  <c r="AB52" i="4"/>
  <c r="AA52" i="4"/>
  <c r="Z52" i="4"/>
  <c r="Y52" i="4"/>
  <c r="X52" i="4"/>
  <c r="W52" i="4"/>
  <c r="V52" i="4"/>
  <c r="R52" i="4"/>
  <c r="AG51" i="4"/>
  <c r="AF51" i="4"/>
  <c r="AE51" i="4"/>
  <c r="AD51" i="4"/>
  <c r="AC51" i="4"/>
  <c r="AB51" i="4"/>
  <c r="AA51" i="4"/>
  <c r="Z51" i="4"/>
  <c r="Y51" i="4"/>
  <c r="X51" i="4"/>
  <c r="W51" i="4"/>
  <c r="V51" i="4"/>
  <c r="R51" i="4"/>
  <c r="AG50" i="4"/>
  <c r="AF50" i="4"/>
  <c r="AE50" i="4"/>
  <c r="AD50" i="4"/>
  <c r="AC50" i="4"/>
  <c r="AB50" i="4"/>
  <c r="AA50" i="4"/>
  <c r="Z50" i="4"/>
  <c r="Y50" i="4"/>
  <c r="X50" i="4"/>
  <c r="W50" i="4"/>
  <c r="V50" i="4"/>
  <c r="R50" i="4"/>
  <c r="AG49" i="4"/>
  <c r="AF49" i="4"/>
  <c r="AE49" i="4"/>
  <c r="AD49" i="4"/>
  <c r="AC49" i="4"/>
  <c r="AB49" i="4"/>
  <c r="AA49" i="4"/>
  <c r="Z49" i="4"/>
  <c r="Y49" i="4"/>
  <c r="X49" i="4"/>
  <c r="W49" i="4"/>
  <c r="V49" i="4"/>
  <c r="R49" i="4"/>
  <c r="AG48" i="4"/>
  <c r="AF48" i="4"/>
  <c r="AE48" i="4"/>
  <c r="AD48" i="4"/>
  <c r="AC48" i="4"/>
  <c r="AB48" i="4"/>
  <c r="AA48" i="4"/>
  <c r="Z48" i="4"/>
  <c r="Y48" i="4"/>
  <c r="X48" i="4"/>
  <c r="W48" i="4"/>
  <c r="V48" i="4"/>
  <c r="R48" i="4"/>
  <c r="AG47" i="4"/>
  <c r="AF47" i="4"/>
  <c r="AE47" i="4"/>
  <c r="AD47" i="4"/>
  <c r="AC47" i="4"/>
  <c r="AB47" i="4"/>
  <c r="AA47" i="4"/>
  <c r="Z47" i="4"/>
  <c r="Y47" i="4"/>
  <c r="X47" i="4"/>
  <c r="W47" i="4"/>
  <c r="V47" i="4"/>
  <c r="R47" i="4"/>
  <c r="AG46" i="4"/>
  <c r="AF46" i="4"/>
  <c r="AE46" i="4"/>
  <c r="AD46" i="4"/>
  <c r="AC46" i="4"/>
  <c r="AB46" i="4"/>
  <c r="AA46" i="4"/>
  <c r="Z46" i="4"/>
  <c r="Y46" i="4"/>
  <c r="X46" i="4"/>
  <c r="W46" i="4"/>
  <c r="V46" i="4"/>
  <c r="R46" i="4"/>
  <c r="AG45" i="4"/>
  <c r="AF45" i="4"/>
  <c r="AE45" i="4"/>
  <c r="AD45" i="4"/>
  <c r="AC45" i="4"/>
  <c r="AB45" i="4"/>
  <c r="AA45" i="4"/>
  <c r="Z45" i="4"/>
  <c r="Y45" i="4"/>
  <c r="X45" i="4"/>
  <c r="W45" i="4"/>
  <c r="V45" i="4"/>
  <c r="R45" i="4"/>
  <c r="AG44" i="4"/>
  <c r="AF44" i="4"/>
  <c r="AE44" i="4"/>
  <c r="AD44" i="4"/>
  <c r="AC44" i="4"/>
  <c r="AB44" i="4"/>
  <c r="AA44" i="4"/>
  <c r="Z44" i="4"/>
  <c r="Y44" i="4"/>
  <c r="X44" i="4"/>
  <c r="W44" i="4"/>
  <c r="V44" i="4"/>
  <c r="R44" i="4"/>
  <c r="AG43" i="4"/>
  <c r="AF43" i="4"/>
  <c r="AE43" i="4"/>
  <c r="AD43" i="4"/>
  <c r="AC43" i="4"/>
  <c r="AB43" i="4"/>
  <c r="AA43" i="4"/>
  <c r="Z43" i="4"/>
  <c r="Y43" i="4"/>
  <c r="X43" i="4"/>
  <c r="W43" i="4"/>
  <c r="V43" i="4"/>
  <c r="R43" i="4"/>
  <c r="AG42" i="4"/>
  <c r="AF42" i="4"/>
  <c r="AE42" i="4"/>
  <c r="AD42" i="4"/>
  <c r="AC42" i="4"/>
  <c r="AB42" i="4"/>
  <c r="AA42" i="4"/>
  <c r="Z42" i="4"/>
  <c r="Y42" i="4"/>
  <c r="X42" i="4"/>
  <c r="W42" i="4"/>
  <c r="V42" i="4"/>
  <c r="R42" i="4"/>
  <c r="AG41" i="4"/>
  <c r="AF41" i="4"/>
  <c r="AE41" i="4"/>
  <c r="AD41" i="4"/>
  <c r="AC41" i="4"/>
  <c r="AB41" i="4"/>
  <c r="AA41" i="4"/>
  <c r="Z41" i="4"/>
  <c r="Y41" i="4"/>
  <c r="X41" i="4"/>
  <c r="W41" i="4"/>
  <c r="V41" i="4"/>
  <c r="R41" i="4"/>
  <c r="AG40" i="4"/>
  <c r="AF40" i="4"/>
  <c r="AE40" i="4"/>
  <c r="AD40" i="4"/>
  <c r="AC40" i="4"/>
  <c r="AB40" i="4"/>
  <c r="AA40" i="4"/>
  <c r="Z40" i="4"/>
  <c r="Y40" i="4"/>
  <c r="X40" i="4"/>
  <c r="W40" i="4"/>
  <c r="V40" i="4"/>
  <c r="R40" i="4"/>
  <c r="AG39" i="4"/>
  <c r="AF39" i="4"/>
  <c r="AE39" i="4"/>
  <c r="AD39" i="4"/>
  <c r="AC39" i="4"/>
  <c r="AB39" i="4"/>
  <c r="AA39" i="4"/>
  <c r="Z39" i="4"/>
  <c r="Y39" i="4"/>
  <c r="X39" i="4"/>
  <c r="W39" i="4"/>
  <c r="V39" i="4"/>
  <c r="R39" i="4"/>
  <c r="AG38" i="4"/>
  <c r="AF38" i="4"/>
  <c r="AE38" i="4"/>
  <c r="AD38" i="4"/>
  <c r="AC38" i="4"/>
  <c r="AB38" i="4"/>
  <c r="AA38" i="4"/>
  <c r="Z38" i="4"/>
  <c r="Y38" i="4"/>
  <c r="X38" i="4"/>
  <c r="W38" i="4"/>
  <c r="V38" i="4"/>
  <c r="R38" i="4"/>
  <c r="AG37" i="4"/>
  <c r="AF37" i="4"/>
  <c r="AE37" i="4"/>
  <c r="AD37" i="4"/>
  <c r="AC37" i="4"/>
  <c r="AB37" i="4"/>
  <c r="AA37" i="4"/>
  <c r="Z37" i="4"/>
  <c r="Y37" i="4"/>
  <c r="X37" i="4"/>
  <c r="W37" i="4"/>
  <c r="V37" i="4"/>
  <c r="R37" i="4"/>
  <c r="AG36" i="4"/>
  <c r="AF36" i="4"/>
  <c r="AE36" i="4"/>
  <c r="AD36" i="4"/>
  <c r="AC36" i="4"/>
  <c r="AB36" i="4"/>
  <c r="AA36" i="4"/>
  <c r="Z36" i="4"/>
  <c r="Y36" i="4"/>
  <c r="X36" i="4"/>
  <c r="W36" i="4"/>
  <c r="V36" i="4"/>
  <c r="R36" i="4"/>
  <c r="AG35" i="4"/>
  <c r="AF35" i="4"/>
  <c r="AE35" i="4"/>
  <c r="AD35" i="4"/>
  <c r="AC35" i="4"/>
  <c r="AB35" i="4"/>
  <c r="AA35" i="4"/>
  <c r="Z35" i="4"/>
  <c r="Y35" i="4"/>
  <c r="X35" i="4"/>
  <c r="W35" i="4"/>
  <c r="V35" i="4"/>
  <c r="R35" i="4"/>
  <c r="AG34" i="4"/>
  <c r="AF34" i="4"/>
  <c r="AE34" i="4"/>
  <c r="AD34" i="4"/>
  <c r="AC34" i="4"/>
  <c r="AB34" i="4"/>
  <c r="AA34" i="4"/>
  <c r="Z34" i="4"/>
  <c r="Y34" i="4"/>
  <c r="X34" i="4"/>
  <c r="W34" i="4"/>
  <c r="V34" i="4"/>
  <c r="R34" i="4"/>
  <c r="AG33" i="4"/>
  <c r="AF33" i="4"/>
  <c r="AE33" i="4"/>
  <c r="AD33" i="4"/>
  <c r="AC33" i="4"/>
  <c r="AB33" i="4"/>
  <c r="AA33" i="4"/>
  <c r="Z33" i="4"/>
  <c r="Y33" i="4"/>
  <c r="X33" i="4"/>
  <c r="W33" i="4"/>
  <c r="V33" i="4"/>
  <c r="R33" i="4"/>
  <c r="AG32" i="4"/>
  <c r="AF32" i="4"/>
  <c r="AE32" i="4"/>
  <c r="AD32" i="4"/>
  <c r="AC32" i="4"/>
  <c r="AB32" i="4"/>
  <c r="AA32" i="4"/>
  <c r="Z32" i="4"/>
  <c r="Y32" i="4"/>
  <c r="X32" i="4"/>
  <c r="W32" i="4"/>
  <c r="V32" i="4"/>
  <c r="R32" i="4"/>
  <c r="AG31" i="4"/>
  <c r="AF31" i="4"/>
  <c r="AE31" i="4"/>
  <c r="AD31" i="4"/>
  <c r="AC31" i="4"/>
  <c r="AB31" i="4"/>
  <c r="AA31" i="4"/>
  <c r="Z31" i="4"/>
  <c r="Y31" i="4"/>
  <c r="X31" i="4"/>
  <c r="W31" i="4"/>
  <c r="V31" i="4"/>
  <c r="R31" i="4"/>
  <c r="AG30" i="4"/>
  <c r="AF30" i="4"/>
  <c r="AE30" i="4"/>
  <c r="AD30" i="4"/>
  <c r="AC30" i="4"/>
  <c r="AB30" i="4"/>
  <c r="AA30" i="4"/>
  <c r="Z30" i="4"/>
  <c r="Y30" i="4"/>
  <c r="X30" i="4"/>
  <c r="W30" i="4"/>
  <c r="V30" i="4"/>
  <c r="R30" i="4"/>
  <c r="AG29" i="4"/>
  <c r="AF29" i="4"/>
  <c r="AE29" i="4"/>
  <c r="AD29" i="4"/>
  <c r="AC29" i="4"/>
  <c r="AB29" i="4"/>
  <c r="AA29" i="4"/>
  <c r="Z29" i="4"/>
  <c r="Y29" i="4"/>
  <c r="X29" i="4"/>
  <c r="W29" i="4"/>
  <c r="V29" i="4"/>
  <c r="R29" i="4"/>
  <c r="AG28" i="4"/>
  <c r="AF28" i="4"/>
  <c r="AE28" i="4"/>
  <c r="AD28" i="4"/>
  <c r="AC28" i="4"/>
  <c r="AB28" i="4"/>
  <c r="AA28" i="4"/>
  <c r="Z28" i="4"/>
  <c r="Y28" i="4"/>
  <c r="X28" i="4"/>
  <c r="W28" i="4"/>
  <c r="V28" i="4"/>
  <c r="R28" i="4"/>
  <c r="AD27" i="4"/>
  <c r="AC27" i="4"/>
  <c r="AB27" i="4"/>
  <c r="Z27" i="4"/>
  <c r="X27" i="4"/>
  <c r="Q27" i="4"/>
  <c r="AG27" i="4"/>
  <c r="P27" i="4"/>
  <c r="AF27" i="4"/>
  <c r="O27" i="4"/>
  <c r="AE27" i="4"/>
  <c r="N27" i="4"/>
  <c r="M27" i="4"/>
  <c r="L27" i="4"/>
  <c r="K27" i="4"/>
  <c r="J27" i="4"/>
  <c r="I27" i="4"/>
  <c r="Y27" i="4"/>
  <c r="H27" i="4"/>
  <c r="G27" i="4"/>
  <c r="W27" i="4"/>
  <c r="F27" i="4"/>
  <c r="V27" i="4"/>
  <c r="AG26" i="4"/>
  <c r="AF26" i="4"/>
  <c r="AE26" i="4"/>
  <c r="AD26" i="4"/>
  <c r="AC26" i="4"/>
  <c r="AB26" i="4"/>
  <c r="AA26" i="4"/>
  <c r="Z26" i="4"/>
  <c r="Y26" i="4"/>
  <c r="X26" i="4"/>
  <c r="W26" i="4"/>
  <c r="V26" i="4"/>
  <c r="R26" i="4"/>
  <c r="AG25" i="4"/>
  <c r="AF25" i="4"/>
  <c r="AE25" i="4"/>
  <c r="AD25" i="4"/>
  <c r="AC25" i="4"/>
  <c r="AB25" i="4"/>
  <c r="AA25" i="4"/>
  <c r="Z25" i="4"/>
  <c r="Y25" i="4"/>
  <c r="X25" i="4"/>
  <c r="W25" i="4"/>
  <c r="V25" i="4"/>
  <c r="R25" i="4"/>
  <c r="AG24" i="4"/>
  <c r="AF24" i="4"/>
  <c r="AE24" i="4"/>
  <c r="AD24" i="4"/>
  <c r="AC24" i="4"/>
  <c r="AB24" i="4"/>
  <c r="AA24" i="4"/>
  <c r="Z24" i="4"/>
  <c r="Y24" i="4"/>
  <c r="X24" i="4"/>
  <c r="W24" i="4"/>
  <c r="V24" i="4"/>
  <c r="R24" i="4"/>
  <c r="Z23" i="4"/>
  <c r="Q23" i="4"/>
  <c r="AG23" i="4"/>
  <c r="P23" i="4"/>
  <c r="AF23" i="4"/>
  <c r="O23" i="4"/>
  <c r="AE23" i="4"/>
  <c r="N23" i="4"/>
  <c r="AD23" i="4"/>
  <c r="M23" i="4"/>
  <c r="AC23" i="4"/>
  <c r="L23" i="4"/>
  <c r="AB23" i="4"/>
  <c r="K23" i="4"/>
  <c r="AA23" i="4"/>
  <c r="J23" i="4"/>
  <c r="I23" i="4"/>
  <c r="Y23" i="4"/>
  <c r="H23" i="4"/>
  <c r="X23" i="4"/>
  <c r="G23" i="4"/>
  <c r="W23" i="4"/>
  <c r="F23" i="4"/>
  <c r="V23" i="4"/>
  <c r="AC22" i="4"/>
  <c r="Q22" i="4"/>
  <c r="AG22" i="4"/>
  <c r="P22" i="4"/>
  <c r="AF22" i="4"/>
  <c r="O22" i="4"/>
  <c r="N22" i="4"/>
  <c r="AD22" i="4"/>
  <c r="M22" i="4"/>
  <c r="L22" i="4"/>
  <c r="AB22" i="4"/>
  <c r="K22" i="4"/>
  <c r="AA22" i="4"/>
  <c r="J22" i="4"/>
  <c r="Z22" i="4"/>
  <c r="I22" i="4"/>
  <c r="Y22" i="4"/>
  <c r="H22" i="4"/>
  <c r="X22" i="4"/>
  <c r="G22" i="4"/>
  <c r="W22" i="4"/>
  <c r="F22" i="4"/>
  <c r="AG21" i="4"/>
  <c r="AF21" i="4"/>
  <c r="AE21" i="4"/>
  <c r="AD21" i="4"/>
  <c r="AC21" i="4"/>
  <c r="AB21" i="4"/>
  <c r="AA21" i="4"/>
  <c r="Z21" i="4"/>
  <c r="Y21" i="4"/>
  <c r="X21" i="4"/>
  <c r="W21" i="4"/>
  <c r="V21" i="4"/>
  <c r="R21" i="4"/>
  <c r="Q20" i="4"/>
  <c r="P20" i="4"/>
  <c r="O20" i="4"/>
  <c r="AE20" i="4"/>
  <c r="N20" i="4"/>
  <c r="M20" i="4"/>
  <c r="AC20" i="4"/>
  <c r="L20" i="4"/>
  <c r="K20" i="4"/>
  <c r="AA20" i="4"/>
  <c r="J20" i="4"/>
  <c r="I20" i="4"/>
  <c r="H20" i="4"/>
  <c r="G20" i="4"/>
  <c r="F20" i="4"/>
  <c r="AG19" i="4"/>
  <c r="AF19" i="4"/>
  <c r="AE19" i="4"/>
  <c r="AD19" i="4"/>
  <c r="AC19" i="4"/>
  <c r="AB19" i="4"/>
  <c r="AA19" i="4"/>
  <c r="Z19" i="4"/>
  <c r="Y19" i="4"/>
  <c r="X19" i="4"/>
  <c r="W19" i="4"/>
  <c r="V19" i="4"/>
  <c r="R19" i="4"/>
  <c r="AG18" i="4"/>
  <c r="AF18" i="4"/>
  <c r="AE18" i="4"/>
  <c r="AD18" i="4"/>
  <c r="AC18" i="4"/>
  <c r="AB18" i="4"/>
  <c r="AA18" i="4"/>
  <c r="Z18" i="4"/>
  <c r="Y18" i="4"/>
  <c r="X18" i="4"/>
  <c r="W18" i="4"/>
  <c r="V18" i="4"/>
  <c r="R18" i="4"/>
  <c r="AG17" i="4"/>
  <c r="AF17" i="4"/>
  <c r="AE17" i="4"/>
  <c r="AD17" i="4"/>
  <c r="AC17" i="4"/>
  <c r="AB17" i="4"/>
  <c r="AA17" i="4"/>
  <c r="Z17" i="4"/>
  <c r="Y17" i="4"/>
  <c r="X17" i="4"/>
  <c r="W17" i="4"/>
  <c r="V17" i="4"/>
  <c r="R17" i="4"/>
  <c r="AG16" i="4"/>
  <c r="AF16" i="4"/>
  <c r="AE16" i="4"/>
  <c r="AD16" i="4"/>
  <c r="AC16" i="4"/>
  <c r="AB16" i="4"/>
  <c r="AA16" i="4"/>
  <c r="Z16" i="4"/>
  <c r="Y16" i="4"/>
  <c r="X16" i="4"/>
  <c r="W16" i="4"/>
  <c r="V16" i="4"/>
  <c r="R16" i="4"/>
  <c r="AG15" i="4"/>
  <c r="AF15" i="4"/>
  <c r="AE15" i="4"/>
  <c r="AD15" i="4"/>
  <c r="AC15" i="4"/>
  <c r="AB15" i="4"/>
  <c r="AA15" i="4"/>
  <c r="Z15" i="4"/>
  <c r="Y15" i="4"/>
  <c r="X15" i="4"/>
  <c r="W15" i="4"/>
  <c r="V15" i="4"/>
  <c r="R15" i="4"/>
  <c r="AG14" i="4"/>
  <c r="AF14" i="4"/>
  <c r="AE14" i="4"/>
  <c r="AD14" i="4"/>
  <c r="AC14" i="4"/>
  <c r="AB14" i="4"/>
  <c r="AA14" i="4"/>
  <c r="Z14" i="4"/>
  <c r="Y14" i="4"/>
  <c r="X14" i="4"/>
  <c r="W14" i="4"/>
  <c r="V14" i="4"/>
  <c r="R14" i="4"/>
  <c r="AG13" i="4"/>
  <c r="AF13" i="4"/>
  <c r="AE13" i="4"/>
  <c r="AD13" i="4"/>
  <c r="AC13" i="4"/>
  <c r="AB13" i="4"/>
  <c r="AA13" i="4"/>
  <c r="Z13" i="4"/>
  <c r="Y13" i="4"/>
  <c r="X13" i="4"/>
  <c r="W13" i="4"/>
  <c r="V13" i="4"/>
  <c r="R13" i="4"/>
  <c r="AG12" i="4"/>
  <c r="AF12" i="4"/>
  <c r="AE12" i="4"/>
  <c r="AD12" i="4"/>
  <c r="AC12" i="4"/>
  <c r="AB12" i="4"/>
  <c r="AA12" i="4"/>
  <c r="Z12" i="4"/>
  <c r="Y12" i="4"/>
  <c r="X12" i="4"/>
  <c r="W12" i="4"/>
  <c r="V12" i="4"/>
  <c r="R12" i="4"/>
  <c r="AG11" i="4"/>
  <c r="AF11" i="4"/>
  <c r="AE11" i="4"/>
  <c r="AD11" i="4"/>
  <c r="AC11" i="4"/>
  <c r="AB11" i="4"/>
  <c r="AA11" i="4"/>
  <c r="Z11" i="4"/>
  <c r="Y11" i="4"/>
  <c r="X11" i="4"/>
  <c r="W11" i="4"/>
  <c r="V11" i="4"/>
  <c r="R11" i="4"/>
  <c r="AG10" i="4"/>
  <c r="AF10" i="4"/>
  <c r="AE10" i="4"/>
  <c r="AD10" i="4"/>
  <c r="AC10" i="4"/>
  <c r="AB10" i="4"/>
  <c r="AA10" i="4"/>
  <c r="Z10" i="4"/>
  <c r="Y10" i="4"/>
  <c r="X10" i="4"/>
  <c r="W10" i="4"/>
  <c r="V10" i="4"/>
  <c r="R10" i="4"/>
  <c r="AG9" i="4"/>
  <c r="AF9" i="4"/>
  <c r="AE9" i="4"/>
  <c r="AD9" i="4"/>
  <c r="AB9" i="4"/>
  <c r="AA9" i="4"/>
  <c r="Z9" i="4"/>
  <c r="Y9" i="4"/>
  <c r="X9" i="4"/>
  <c r="W9" i="4"/>
  <c r="V9" i="4"/>
  <c r="R9" i="4"/>
  <c r="AG8" i="4"/>
  <c r="AF8" i="4"/>
  <c r="AE8" i="4"/>
  <c r="AD8" i="4"/>
  <c r="AC8" i="4"/>
  <c r="AB8" i="4"/>
  <c r="AA8" i="4"/>
  <c r="Z8" i="4"/>
  <c r="Y8" i="4"/>
  <c r="X8" i="4"/>
  <c r="W8" i="4"/>
  <c r="V8" i="4"/>
  <c r="R8" i="4"/>
  <c r="AG7" i="4"/>
  <c r="AF7" i="4"/>
  <c r="AE7" i="4"/>
  <c r="AD7" i="4"/>
  <c r="AC7" i="4"/>
  <c r="AB7" i="4"/>
  <c r="AA7" i="4"/>
  <c r="Z7" i="4"/>
  <c r="Y7" i="4"/>
  <c r="X7" i="4"/>
  <c r="W7" i="4"/>
  <c r="V7" i="4"/>
  <c r="R7" i="4"/>
  <c r="AG6" i="4"/>
  <c r="AF6" i="4"/>
  <c r="AE6" i="4"/>
  <c r="AD6" i="4"/>
  <c r="AC6" i="4"/>
  <c r="AB6" i="4"/>
  <c r="AA6" i="4"/>
  <c r="Z6" i="4"/>
  <c r="Y6" i="4"/>
  <c r="X6" i="4"/>
  <c r="W6" i="4"/>
  <c r="V6" i="4"/>
  <c r="R6" i="4"/>
  <c r="AG5" i="4"/>
  <c r="AF5" i="4"/>
  <c r="AE5" i="4"/>
  <c r="AD5" i="4"/>
  <c r="AC5" i="4"/>
  <c r="AB5" i="4"/>
  <c r="AA5" i="4"/>
  <c r="Z5" i="4"/>
  <c r="Y5" i="4"/>
  <c r="X5" i="4"/>
  <c r="W5" i="4"/>
  <c r="V5" i="4"/>
  <c r="R5" i="4"/>
  <c r="AG4" i="4"/>
  <c r="AF4" i="4"/>
  <c r="AD4" i="4"/>
  <c r="AA4" i="4"/>
  <c r="Z4" i="4"/>
  <c r="Y4" i="4"/>
  <c r="X4" i="4"/>
  <c r="W4" i="4"/>
  <c r="V4" i="4"/>
  <c r="R4" i="4"/>
  <c r="AG3" i="4"/>
  <c r="AF3" i="4"/>
  <c r="AE3" i="4"/>
  <c r="AD3" i="4"/>
  <c r="AC3" i="4"/>
  <c r="AB3" i="4"/>
  <c r="AA3" i="4"/>
  <c r="Z3" i="4"/>
  <c r="Y3" i="4"/>
  <c r="X3" i="4"/>
  <c r="W3" i="4"/>
  <c r="V3" i="4"/>
  <c r="R3" i="4"/>
  <c r="AG2" i="4"/>
  <c r="AF2" i="4"/>
  <c r="AC2" i="4"/>
  <c r="Z2" i="4"/>
  <c r="Y2" i="4"/>
  <c r="X2" i="4"/>
  <c r="W2" i="4"/>
  <c r="V2" i="4"/>
  <c r="R2" i="4"/>
  <c r="Q108" i="3"/>
  <c r="P108" i="3"/>
  <c r="O108" i="3"/>
  <c r="N108" i="3"/>
  <c r="M108" i="3"/>
  <c r="L108" i="3"/>
  <c r="K108" i="3"/>
  <c r="J108" i="3"/>
  <c r="I108" i="3"/>
  <c r="H108" i="3"/>
  <c r="G108" i="3"/>
  <c r="F108" i="3"/>
  <c r="R104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R102" i="3"/>
  <c r="R101" i="3"/>
  <c r="R100" i="3"/>
  <c r="R99" i="3"/>
  <c r="R98" i="3"/>
  <c r="R97" i="3"/>
  <c r="R96" i="3"/>
  <c r="R92" i="3"/>
  <c r="R91" i="3"/>
  <c r="R89" i="3"/>
  <c r="R88" i="3"/>
  <c r="R87" i="3"/>
  <c r="R86" i="3"/>
  <c r="R85" i="3"/>
  <c r="R84" i="3"/>
  <c r="R83" i="3"/>
  <c r="R82" i="3"/>
  <c r="R81" i="3"/>
  <c r="Q79" i="3"/>
  <c r="P79" i="3"/>
  <c r="O79" i="3"/>
  <c r="R78" i="3"/>
  <c r="R77" i="3"/>
  <c r="Q76" i="3"/>
  <c r="Q90" i="3"/>
  <c r="Q95" i="3"/>
  <c r="P76" i="3"/>
  <c r="P90" i="3"/>
  <c r="P95" i="3"/>
  <c r="O76" i="3"/>
  <c r="O90" i="3"/>
  <c r="O95" i="3"/>
  <c r="N76" i="3"/>
  <c r="M76" i="3"/>
  <c r="L76" i="3"/>
  <c r="K76" i="3"/>
  <c r="J76" i="3"/>
  <c r="J90" i="3"/>
  <c r="J95" i="3"/>
  <c r="I76" i="3"/>
  <c r="I79" i="3"/>
  <c r="H76" i="3"/>
  <c r="H80" i="3"/>
  <c r="G76" i="3"/>
  <c r="G79" i="3"/>
  <c r="F76" i="3"/>
  <c r="R75" i="3"/>
  <c r="R74" i="3"/>
  <c r="R73" i="3"/>
  <c r="R72" i="3"/>
  <c r="R71" i="3"/>
  <c r="R70" i="3"/>
  <c r="R69" i="3"/>
  <c r="R68" i="3"/>
  <c r="R67" i="3"/>
  <c r="D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R105" i="2"/>
  <c r="R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R102" i="2"/>
  <c r="R101" i="2"/>
  <c r="R100" i="2"/>
  <c r="R99" i="2"/>
  <c r="R98" i="2"/>
  <c r="R97" i="2"/>
  <c r="R96" i="2"/>
  <c r="I93" i="2"/>
  <c r="H93" i="2"/>
  <c r="G93" i="2"/>
  <c r="F93" i="2"/>
  <c r="R92" i="2"/>
  <c r="R91" i="2"/>
  <c r="Q90" i="2"/>
  <c r="Q95" i="2"/>
  <c r="R89" i="2"/>
  <c r="R88" i="2"/>
  <c r="R87" i="2"/>
  <c r="R86" i="2"/>
  <c r="R85" i="2"/>
  <c r="R84" i="2"/>
  <c r="R83" i="2"/>
  <c r="R82" i="2"/>
  <c r="R81" i="2"/>
  <c r="I80" i="2"/>
  <c r="G80" i="2"/>
  <c r="F80" i="2"/>
  <c r="F94" i="2"/>
  <c r="Q79" i="2"/>
  <c r="I79" i="2"/>
  <c r="I94" i="2"/>
  <c r="R78" i="2"/>
  <c r="R77" i="2"/>
  <c r="Q76" i="2"/>
  <c r="Q80" i="2"/>
  <c r="P76" i="2"/>
  <c r="P93" i="2"/>
  <c r="O76" i="2"/>
  <c r="O90" i="2"/>
  <c r="O95" i="2"/>
  <c r="N76" i="2"/>
  <c r="N80" i="2"/>
  <c r="M76" i="2"/>
  <c r="L76" i="2"/>
  <c r="L80" i="2"/>
  <c r="K76" i="2"/>
  <c r="K80" i="2"/>
  <c r="J76" i="2"/>
  <c r="J90" i="2"/>
  <c r="J95" i="2"/>
  <c r="I76" i="2"/>
  <c r="I90" i="2"/>
  <c r="I95" i="2"/>
  <c r="H76" i="2"/>
  <c r="H79" i="2"/>
  <c r="G76" i="2"/>
  <c r="G79" i="2"/>
  <c r="G94" i="2"/>
  <c r="F76" i="2"/>
  <c r="F79" i="2"/>
  <c r="R75" i="2"/>
  <c r="R74" i="2"/>
  <c r="R73" i="2"/>
  <c r="R72" i="2"/>
  <c r="Q71" i="2"/>
  <c r="P71" i="2"/>
  <c r="O71" i="2"/>
  <c r="N71" i="2"/>
  <c r="M71" i="2"/>
  <c r="L71" i="2"/>
  <c r="K71" i="2"/>
  <c r="J71" i="2"/>
  <c r="I71" i="2"/>
  <c r="H71" i="2"/>
  <c r="G71" i="2"/>
  <c r="F71" i="2"/>
  <c r="R70" i="2"/>
  <c r="R69" i="2"/>
  <c r="R68" i="2"/>
  <c r="R67" i="2"/>
  <c r="D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Q41" i="2"/>
  <c r="P41" i="2"/>
  <c r="O41" i="2"/>
  <c r="N41" i="2"/>
  <c r="M41" i="2"/>
  <c r="L41" i="2"/>
  <c r="K41" i="2"/>
  <c r="J41" i="2"/>
  <c r="I41" i="2"/>
  <c r="H41" i="2"/>
  <c r="G41" i="2"/>
  <c r="F41" i="2"/>
  <c r="R40" i="2"/>
  <c r="R39" i="2"/>
  <c r="R38" i="2"/>
  <c r="R37" i="2"/>
  <c r="Q36" i="2"/>
  <c r="P36" i="2"/>
  <c r="O36" i="2"/>
  <c r="N36" i="2"/>
  <c r="M36" i="2"/>
  <c r="L36" i="2"/>
  <c r="K36" i="2"/>
  <c r="J36" i="2"/>
  <c r="I36" i="2"/>
  <c r="H36" i="2"/>
  <c r="G36" i="2"/>
  <c r="F36" i="2"/>
  <c r="R35" i="2"/>
  <c r="Q34" i="2"/>
  <c r="P34" i="2"/>
  <c r="O34" i="2"/>
  <c r="O108" i="2"/>
  <c r="N34" i="2"/>
  <c r="N108" i="2"/>
  <c r="M34" i="2"/>
  <c r="M108" i="2"/>
  <c r="L34" i="2"/>
  <c r="K34" i="2"/>
  <c r="J34" i="2"/>
  <c r="I34" i="2"/>
  <c r="H34" i="2"/>
  <c r="G34" i="2"/>
  <c r="F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N106" i="7"/>
  <c r="Q106" i="7"/>
  <c r="P108" i="7"/>
  <c r="R47" i="6"/>
  <c r="R53" i="6"/>
  <c r="R71" i="6"/>
  <c r="F108" i="6"/>
  <c r="Q108" i="5"/>
  <c r="O108" i="5"/>
  <c r="H94" i="5"/>
  <c r="P90" i="5"/>
  <c r="P95" i="5"/>
  <c r="L108" i="5"/>
  <c r="P79" i="5"/>
  <c r="P106" i="5"/>
  <c r="J80" i="5"/>
  <c r="H106" i="5"/>
  <c r="K79" i="5"/>
  <c r="L93" i="5"/>
  <c r="P80" i="5"/>
  <c r="P94" i="5"/>
  <c r="J90" i="5"/>
  <c r="J95" i="5"/>
  <c r="N108" i="5"/>
  <c r="R103" i="5"/>
  <c r="P108" i="5"/>
  <c r="O90" i="5"/>
  <c r="O95" i="5"/>
  <c r="F94" i="4"/>
  <c r="F106" i="4"/>
  <c r="I79" i="4"/>
  <c r="Y79" i="4"/>
  <c r="I90" i="4"/>
  <c r="H93" i="4"/>
  <c r="X93" i="4"/>
  <c r="H95" i="4"/>
  <c r="X95" i="4"/>
  <c r="X76" i="4"/>
  <c r="H80" i="4"/>
  <c r="X80" i="4"/>
  <c r="H79" i="4"/>
  <c r="X79" i="4"/>
  <c r="AB76" i="4"/>
  <c r="I80" i="4"/>
  <c r="I94" i="4"/>
  <c r="AG90" i="4"/>
  <c r="Q95" i="4"/>
  <c r="AG95" i="4"/>
  <c r="F95" i="4"/>
  <c r="V95" i="4"/>
  <c r="V90" i="4"/>
  <c r="J80" i="4"/>
  <c r="K80" i="4"/>
  <c r="I93" i="4"/>
  <c r="Y93" i="4"/>
  <c r="V76" i="4"/>
  <c r="J79" i="4"/>
  <c r="Z79" i="4"/>
  <c r="L80" i="4"/>
  <c r="L94" i="4"/>
  <c r="AB94" i="4"/>
  <c r="J93" i="4"/>
  <c r="Z93" i="4"/>
  <c r="Z76" i="4"/>
  <c r="M79" i="4"/>
  <c r="AC79" i="4"/>
  <c r="F108" i="4"/>
  <c r="G90" i="3"/>
  <c r="G95" i="3"/>
  <c r="H90" i="3"/>
  <c r="H95" i="3"/>
  <c r="I80" i="3"/>
  <c r="G93" i="3"/>
  <c r="H93" i="3"/>
  <c r="I93" i="3"/>
  <c r="P93" i="3"/>
  <c r="Q93" i="3"/>
  <c r="Q109" i="3"/>
  <c r="J79" i="3"/>
  <c r="J80" i="3"/>
  <c r="J94" i="3"/>
  <c r="J93" i="3"/>
  <c r="J109" i="3"/>
  <c r="O80" i="3"/>
  <c r="O94" i="3"/>
  <c r="P80" i="3"/>
  <c r="P94" i="3"/>
  <c r="R108" i="3"/>
  <c r="Q80" i="3"/>
  <c r="Q94" i="3"/>
  <c r="I90" i="3"/>
  <c r="I95" i="3"/>
  <c r="H79" i="3"/>
  <c r="H94" i="3"/>
  <c r="Q94" i="2"/>
  <c r="Q106" i="2"/>
  <c r="Q108" i="2"/>
  <c r="J79" i="2"/>
  <c r="J106" i="2"/>
  <c r="R71" i="2"/>
  <c r="R36" i="2"/>
  <c r="J93" i="2"/>
  <c r="J80" i="2"/>
  <c r="J94" i="2"/>
  <c r="J109" i="2"/>
  <c r="O93" i="2"/>
  <c r="H90" i="2"/>
  <c r="H95" i="2"/>
  <c r="P108" i="2"/>
  <c r="O80" i="2"/>
  <c r="Q93" i="2"/>
  <c r="Q109" i="2"/>
  <c r="R103" i="2"/>
  <c r="N108" i="4"/>
  <c r="AD20" i="4"/>
  <c r="R22" i="4"/>
  <c r="M108" i="5"/>
  <c r="K93" i="3"/>
  <c r="K90" i="3"/>
  <c r="K95" i="3"/>
  <c r="V22" i="4"/>
  <c r="R76" i="5"/>
  <c r="I90" i="5"/>
  <c r="I95" i="5"/>
  <c r="I93" i="5"/>
  <c r="I79" i="5"/>
  <c r="G94" i="5"/>
  <c r="G109" i="5"/>
  <c r="O108" i="7"/>
  <c r="O106" i="7"/>
  <c r="AE2" i="4"/>
  <c r="L93" i="3"/>
  <c r="L80" i="3"/>
  <c r="L79" i="3"/>
  <c r="L90" i="3"/>
  <c r="L95" i="3"/>
  <c r="K79" i="3"/>
  <c r="P108" i="4"/>
  <c r="F94" i="5"/>
  <c r="M80" i="3"/>
  <c r="M79" i="3"/>
  <c r="M93" i="3"/>
  <c r="M90" i="3"/>
  <c r="M95" i="3"/>
  <c r="R103" i="3"/>
  <c r="Q108" i="4"/>
  <c r="K93" i="2"/>
  <c r="N79" i="3"/>
  <c r="N80" i="3"/>
  <c r="N94" i="3"/>
  <c r="N93" i="3"/>
  <c r="N90" i="3"/>
  <c r="N95" i="3"/>
  <c r="R20" i="4"/>
  <c r="J94" i="4"/>
  <c r="Z94" i="4"/>
  <c r="Z80" i="4"/>
  <c r="F108" i="2"/>
  <c r="R34" i="2"/>
  <c r="L93" i="2"/>
  <c r="L90" i="2"/>
  <c r="L95" i="2"/>
  <c r="K79" i="2"/>
  <c r="K94" i="2"/>
  <c r="K106" i="2"/>
  <c r="N94" i="2"/>
  <c r="G108" i="4"/>
  <c r="W20" i="4"/>
  <c r="V20" i="4"/>
  <c r="AA80" i="4"/>
  <c r="G108" i="2"/>
  <c r="M80" i="2"/>
  <c r="M94" i="2"/>
  <c r="M93" i="2"/>
  <c r="M90" i="2"/>
  <c r="M95" i="2"/>
  <c r="L79" i="2"/>
  <c r="O94" i="2"/>
  <c r="H108" i="4"/>
  <c r="X20" i="4"/>
  <c r="R23" i="4"/>
  <c r="AB80" i="4"/>
  <c r="V93" i="4"/>
  <c r="R60" i="6"/>
  <c r="R109" i="6"/>
  <c r="H108" i="2"/>
  <c r="N79" i="2"/>
  <c r="N93" i="2"/>
  <c r="N90" i="2"/>
  <c r="N95" i="2"/>
  <c r="M79" i="2"/>
  <c r="AE80" i="4"/>
  <c r="P106" i="6"/>
  <c r="P108" i="6"/>
  <c r="M108" i="7"/>
  <c r="AC4" i="4"/>
  <c r="R4" i="7"/>
  <c r="I106" i="2"/>
  <c r="I108" i="2"/>
  <c r="O79" i="2"/>
  <c r="F79" i="3"/>
  <c r="F80" i="3"/>
  <c r="R76" i="3"/>
  <c r="I94" i="3"/>
  <c r="I106" i="3"/>
  <c r="I80" i="5"/>
  <c r="Q108" i="6"/>
  <c r="J108" i="2"/>
  <c r="P80" i="2"/>
  <c r="P79" i="2"/>
  <c r="P90" i="2"/>
  <c r="P95" i="2"/>
  <c r="K90" i="2"/>
  <c r="K95" i="2"/>
  <c r="K80" i="3"/>
  <c r="K94" i="3"/>
  <c r="F93" i="3"/>
  <c r="AF20" i="4"/>
  <c r="O108" i="4"/>
  <c r="AE22" i="4"/>
  <c r="AA27" i="4"/>
  <c r="K79" i="4"/>
  <c r="AA79" i="4"/>
  <c r="K93" i="4"/>
  <c r="AA93" i="4"/>
  <c r="K90" i="4"/>
  <c r="J108" i="5"/>
  <c r="R65" i="5"/>
  <c r="Q79" i="5"/>
  <c r="Q90" i="5"/>
  <c r="Q95" i="5"/>
  <c r="Q80" i="5"/>
  <c r="F106" i="6"/>
  <c r="R12" i="6"/>
  <c r="K108" i="2"/>
  <c r="AG20" i="4"/>
  <c r="L93" i="4"/>
  <c r="AB93" i="4"/>
  <c r="L90" i="4"/>
  <c r="J95" i="4"/>
  <c r="Z95" i="4"/>
  <c r="Z90" i="4"/>
  <c r="R66" i="5"/>
  <c r="G106" i="6"/>
  <c r="L108" i="2"/>
  <c r="F90" i="3"/>
  <c r="M93" i="4"/>
  <c r="AC93" i="4"/>
  <c r="M80" i="4"/>
  <c r="M90" i="4"/>
  <c r="H108" i="5"/>
  <c r="N80" i="4"/>
  <c r="N79" i="4"/>
  <c r="AD79" i="4"/>
  <c r="N93" i="4"/>
  <c r="AD93" i="4"/>
  <c r="H106" i="6"/>
  <c r="H108" i="6"/>
  <c r="I108" i="6"/>
  <c r="N108" i="7"/>
  <c r="I108" i="4"/>
  <c r="Y20" i="4"/>
  <c r="O93" i="4"/>
  <c r="AE93" i="4"/>
  <c r="O79" i="4"/>
  <c r="AE79" i="4"/>
  <c r="O90" i="4"/>
  <c r="R60" i="5"/>
  <c r="J108" i="6"/>
  <c r="R51" i="6"/>
  <c r="R2" i="7"/>
  <c r="K106" i="7"/>
  <c r="K108" i="7"/>
  <c r="G80" i="3"/>
  <c r="AA2" i="4"/>
  <c r="J108" i="4"/>
  <c r="P93" i="4"/>
  <c r="AF93" i="4"/>
  <c r="P80" i="4"/>
  <c r="P90" i="4"/>
  <c r="AF76" i="4"/>
  <c r="L106" i="7"/>
  <c r="L108" i="7"/>
  <c r="I109" i="2"/>
  <c r="H80" i="2"/>
  <c r="AB2" i="4"/>
  <c r="H94" i="4"/>
  <c r="N90" i="4"/>
  <c r="L108" i="6"/>
  <c r="J106" i="3"/>
  <c r="I106" i="6"/>
  <c r="R27" i="4"/>
  <c r="L106" i="6"/>
  <c r="R67" i="6"/>
  <c r="H109" i="5"/>
  <c r="K108" i="6"/>
  <c r="K106" i="6"/>
  <c r="P106" i="7"/>
  <c r="R41" i="2"/>
  <c r="R76" i="2"/>
  <c r="F90" i="2"/>
  <c r="Q93" i="4"/>
  <c r="AG93" i="4"/>
  <c r="Q80" i="4"/>
  <c r="Q79" i="4"/>
  <c r="AG79" i="4"/>
  <c r="AG76" i="4"/>
  <c r="K93" i="5"/>
  <c r="K80" i="5"/>
  <c r="K94" i="5"/>
  <c r="R109" i="7"/>
  <c r="G90" i="2"/>
  <c r="G95" i="2"/>
  <c r="O93" i="3"/>
  <c r="K108" i="4"/>
  <c r="Z20" i="4"/>
  <c r="R76" i="4"/>
  <c r="L80" i="5"/>
  <c r="L79" i="5"/>
  <c r="J79" i="5"/>
  <c r="M108" i="6"/>
  <c r="N108" i="6"/>
  <c r="R56" i="6"/>
  <c r="L108" i="4"/>
  <c r="G79" i="4"/>
  <c r="G90" i="4"/>
  <c r="W76" i="4"/>
  <c r="M93" i="5"/>
  <c r="M79" i="5"/>
  <c r="M94" i="5"/>
  <c r="M90" i="5"/>
  <c r="M95" i="5"/>
  <c r="N106" i="6"/>
  <c r="R9" i="7"/>
  <c r="AB20" i="4"/>
  <c r="G80" i="4"/>
  <c r="M108" i="4"/>
  <c r="N93" i="5"/>
  <c r="N80" i="5"/>
  <c r="N90" i="5"/>
  <c r="N95" i="5"/>
  <c r="N79" i="5"/>
  <c r="O108" i="6"/>
  <c r="O106" i="6"/>
  <c r="O79" i="5"/>
  <c r="O80" i="5"/>
  <c r="R108" i="6"/>
  <c r="K109" i="5"/>
  <c r="J94" i="5"/>
  <c r="I94" i="5"/>
  <c r="Q94" i="5"/>
  <c r="Q106" i="5"/>
  <c r="I106" i="5"/>
  <c r="P109" i="5"/>
  <c r="J109" i="5"/>
  <c r="I109" i="5"/>
  <c r="I106" i="4"/>
  <c r="F109" i="4"/>
  <c r="Y80" i="4"/>
  <c r="V94" i="4"/>
  <c r="Y90" i="4"/>
  <c r="I95" i="4"/>
  <c r="Y95" i="4"/>
  <c r="K94" i="4"/>
  <c r="AA94" i="4"/>
  <c r="R90" i="4"/>
  <c r="R80" i="4"/>
  <c r="J109" i="4"/>
  <c r="Q106" i="3"/>
  <c r="P109" i="3"/>
  <c r="H109" i="3"/>
  <c r="O109" i="3"/>
  <c r="H106" i="3"/>
  <c r="I109" i="3"/>
  <c r="R108" i="2"/>
  <c r="R93" i="2"/>
  <c r="N109" i="2"/>
  <c r="M106" i="2"/>
  <c r="L109" i="3"/>
  <c r="J106" i="5"/>
  <c r="P106" i="3"/>
  <c r="K109" i="2"/>
  <c r="K109" i="3"/>
  <c r="G106" i="5"/>
  <c r="R79" i="2"/>
  <c r="R93" i="3"/>
  <c r="F94" i="3"/>
  <c r="F106" i="3"/>
  <c r="R80" i="3"/>
  <c r="O94" i="4"/>
  <c r="AE94" i="4"/>
  <c r="R93" i="4"/>
  <c r="M109" i="2"/>
  <c r="H109" i="4"/>
  <c r="X94" i="4"/>
  <c r="F95" i="3"/>
  <c r="R95" i="3"/>
  <c r="R90" i="3"/>
  <c r="AG80" i="4"/>
  <c r="Q94" i="4"/>
  <c r="AG94" i="4"/>
  <c r="L106" i="3"/>
  <c r="R80" i="2"/>
  <c r="H94" i="2"/>
  <c r="N109" i="3"/>
  <c r="R90" i="2"/>
  <c r="F95" i="2"/>
  <c r="R95" i="2"/>
  <c r="F109" i="2"/>
  <c r="T43" i="2"/>
  <c r="G94" i="3"/>
  <c r="G109" i="3"/>
  <c r="N94" i="5"/>
  <c r="N109" i="5"/>
  <c r="M109" i="5"/>
  <c r="R90" i="5"/>
  <c r="R80" i="5"/>
  <c r="G109" i="2"/>
  <c r="F106" i="5"/>
  <c r="R108" i="5"/>
  <c r="R79" i="3"/>
  <c r="N106" i="3"/>
  <c r="K106" i="3"/>
  <c r="R79" i="5"/>
  <c r="O106" i="3"/>
  <c r="R108" i="7"/>
  <c r="R106" i="7"/>
  <c r="M95" i="4"/>
  <c r="AC95" i="4"/>
  <c r="AC90" i="4"/>
  <c r="K95" i="4"/>
  <c r="AA95" i="4"/>
  <c r="AA90" i="4"/>
  <c r="G106" i="2"/>
  <c r="F109" i="5"/>
  <c r="R108" i="4"/>
  <c r="L94" i="5"/>
  <c r="L109" i="5"/>
  <c r="AC80" i="4"/>
  <c r="M94" i="4"/>
  <c r="AC94" i="4"/>
  <c r="K106" i="5"/>
  <c r="R106" i="6"/>
  <c r="O109" i="2"/>
  <c r="O106" i="2"/>
  <c r="M106" i="5"/>
  <c r="W79" i="4"/>
  <c r="M94" i="3"/>
  <c r="M106" i="3"/>
  <c r="N94" i="4"/>
  <c r="AD94" i="4"/>
  <c r="AD80" i="4"/>
  <c r="L94" i="2"/>
  <c r="L106" i="2"/>
  <c r="I109" i="4"/>
  <c r="Y94" i="4"/>
  <c r="G94" i="4"/>
  <c r="G109" i="4"/>
  <c r="W80" i="4"/>
  <c r="O94" i="5"/>
  <c r="O106" i="5"/>
  <c r="N95" i="4"/>
  <c r="AD95" i="4"/>
  <c r="AD90" i="4"/>
  <c r="AF90" i="4"/>
  <c r="P95" i="4"/>
  <c r="AF95" i="4"/>
  <c r="Q109" i="5"/>
  <c r="K109" i="4"/>
  <c r="H106" i="4"/>
  <c r="R93" i="5"/>
  <c r="R79" i="4"/>
  <c r="W90" i="4"/>
  <c r="G95" i="4"/>
  <c r="P94" i="4"/>
  <c r="AF94" i="4"/>
  <c r="AF80" i="4"/>
  <c r="O95" i="4"/>
  <c r="AE95" i="4"/>
  <c r="AE90" i="4"/>
  <c r="J106" i="4"/>
  <c r="AB90" i="4"/>
  <c r="L95" i="4"/>
  <c r="P94" i="2"/>
  <c r="P109" i="2"/>
  <c r="N106" i="2"/>
  <c r="L94" i="3"/>
  <c r="R95" i="5"/>
  <c r="N106" i="5"/>
  <c r="L106" i="5"/>
  <c r="N106" i="4"/>
  <c r="P106" i="4"/>
  <c r="Q106" i="4"/>
  <c r="Q109" i="4"/>
  <c r="L109" i="2"/>
  <c r="O106" i="4"/>
  <c r="M109" i="3"/>
  <c r="P106" i="2"/>
  <c r="R94" i="5"/>
  <c r="R109" i="5"/>
  <c r="R106" i="5"/>
  <c r="M109" i="4"/>
  <c r="N109" i="4"/>
  <c r="G106" i="3"/>
  <c r="K106" i="4"/>
  <c r="W95" i="4"/>
  <c r="R95" i="4"/>
  <c r="O109" i="5"/>
  <c r="P109" i="4"/>
  <c r="AB95" i="4"/>
  <c r="L109" i="4"/>
  <c r="L106" i="4"/>
  <c r="R94" i="3"/>
  <c r="R106" i="3"/>
  <c r="W94" i="4"/>
  <c r="R94" i="4"/>
  <c r="F109" i="3"/>
  <c r="G106" i="4"/>
  <c r="M106" i="4"/>
  <c r="O109" i="4"/>
  <c r="H106" i="2"/>
  <c r="R94" i="2"/>
  <c r="F106" i="2"/>
  <c r="H109" i="2"/>
  <c r="R109" i="3"/>
  <c r="R106" i="4"/>
  <c r="R109" i="4"/>
  <c r="R106" i="2"/>
  <c r="R10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Karlsson</author>
  </authors>
  <commentList>
    <comment ref="BW8" authorId="0" shapeId="0" xr:uid="{858F3F0E-2FE3-4447-83EF-8CAEB069DE76}">
      <text>
        <r>
          <rPr>
            <b/>
            <sz val="9"/>
            <color indexed="81"/>
            <rFont val="Tahoma"/>
            <family val="2"/>
          </rPr>
          <t>Erik Karlsson:</t>
        </r>
        <r>
          <rPr>
            <sz val="9"/>
            <color indexed="81"/>
            <rFont val="Tahoma"/>
            <family val="2"/>
          </rPr>
          <t xml:space="preserve">
FLAGGOR</t>
        </r>
      </text>
    </comment>
    <comment ref="AG10" authorId="0" shapeId="0" xr:uid="{6618B752-7CE6-4158-AA46-6CE2C7BF45DB}">
      <text>
        <r>
          <rPr>
            <b/>
            <sz val="9"/>
            <color indexed="81"/>
            <rFont val="Tahoma"/>
            <family val="2"/>
          </rPr>
          <t>Erik Karlsson:</t>
        </r>
        <r>
          <rPr>
            <sz val="9"/>
            <color indexed="81"/>
            <rFont val="Tahoma"/>
            <family val="2"/>
          </rPr>
          <t xml:space="preserve">
12 st APS 1 per mån</t>
        </r>
      </text>
    </comment>
    <comment ref="BW15" authorId="0" shapeId="0" xr:uid="{D0845612-95BF-4097-8FFF-27621D7EFB1C}">
      <text>
        <r>
          <rPr>
            <b/>
            <sz val="9"/>
            <color indexed="81"/>
            <rFont val="Tahoma"/>
            <family val="2"/>
          </rPr>
          <t>Erik Karlsson:</t>
        </r>
        <r>
          <rPr>
            <sz val="9"/>
            <color indexed="81"/>
            <rFont val="Tahoma"/>
            <family val="2"/>
          </rPr>
          <t xml:space="preserve">
FLAGGOR
</t>
        </r>
      </text>
    </comment>
    <comment ref="AH18" authorId="0" shapeId="0" xr:uid="{B4833E27-5421-411C-A5EB-80535AD5F79F}">
      <text>
        <r>
          <rPr>
            <b/>
            <sz val="9"/>
            <color indexed="81"/>
            <rFont val="Tahoma"/>
            <family val="2"/>
          </rPr>
          <t>Erik Karlsson:</t>
        </r>
        <r>
          <rPr>
            <sz val="9"/>
            <color indexed="81"/>
            <rFont val="Tahoma"/>
            <family val="2"/>
          </rPr>
          <t xml:space="preserve">
590-360 = IC-kost för 6 st maskiner period 02,04,06,09,10,11. 360 tkr per maskin ligger redan i KSV.</t>
        </r>
      </text>
    </comment>
  </commentList>
</comments>
</file>

<file path=xl/sharedStrings.xml><?xml version="1.0" encoding="utf-8"?>
<sst xmlns="http://schemas.openxmlformats.org/spreadsheetml/2006/main" count="1429" uniqueCount="287">
  <si>
    <t>Sacpro Group koncern</t>
  </si>
  <si>
    <t>ELIM</t>
  </si>
  <si>
    <t>Sacpro AB</t>
  </si>
  <si>
    <t>Sacpro FI</t>
  </si>
  <si>
    <t>Uvrelining</t>
  </si>
  <si>
    <t>Svedlunds flaggstänger</t>
  </si>
  <si>
    <t>Sacpro Group</t>
  </si>
  <si>
    <t>BU 2026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</si>
  <si>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</si>
  <si>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</si>
  <si>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</si>
  <si>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</si>
  <si>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</si>
  <si>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</si>
  <si>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</si>
  <si>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</si>
  <si>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</si>
  <si>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</si>
  <si>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</si>
  <si>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</si>
  <si>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Nettoomsättning</t>
  </si>
  <si>
    <t>UVXAir elim</t>
  </si>
  <si>
    <t>Övriga rörelseintäkter</t>
  </si>
  <si>
    <t>Direkta materialkostnader</t>
  </si>
  <si>
    <t>MO ink lager</t>
  </si>
  <si>
    <t>Direkt lön</t>
  </si>
  <si>
    <t>UVXair elim</t>
  </si>
  <si>
    <t>Bruttovinst</t>
  </si>
  <si>
    <t>%</t>
  </si>
  <si>
    <t>Övriga externa kostnader</t>
  </si>
  <si>
    <t>Personalkostnader</t>
  </si>
  <si>
    <t>EBITDA</t>
  </si>
  <si>
    <t>Avskrivningar</t>
  </si>
  <si>
    <t>EBITA</t>
  </si>
  <si>
    <t>Goodwill - avskrivning</t>
  </si>
  <si>
    <t>EBIT</t>
  </si>
  <si>
    <t>Finansiellt netto</t>
  </si>
  <si>
    <t>EBT</t>
  </si>
  <si>
    <t>Skatt</t>
  </si>
  <si>
    <t>NP</t>
  </si>
  <si>
    <t>Konto</t>
  </si>
  <si>
    <t>Namn</t>
  </si>
  <si>
    <t>Konto + namn</t>
  </si>
  <si>
    <t>Summa 2026</t>
  </si>
  <si>
    <t>Lokalhyra</t>
  </si>
  <si>
    <t>5010 Lokalhyra</t>
  </si>
  <si>
    <t>El för belysning</t>
  </si>
  <si>
    <t>5020 El för belysning</t>
  </si>
  <si>
    <t>Värme</t>
  </si>
  <si>
    <t>5030 Värme</t>
  </si>
  <si>
    <t>Städning</t>
  </si>
  <si>
    <t>5060 Städning</t>
  </si>
  <si>
    <t>Renhållning</t>
  </si>
  <si>
    <t>5061 Renhållning</t>
  </si>
  <si>
    <t>Reparation och underhåll av lokaler</t>
  </si>
  <si>
    <t>5070 Reparation och underhåll av lokaler</t>
  </si>
  <si>
    <t>Anpassningar lokaler</t>
  </si>
  <si>
    <t>5071 Anpassningar lokaler</t>
  </si>
  <si>
    <t>Övriga lokalkostnader</t>
  </si>
  <si>
    <t>5090 Övriga lokalkostnader</t>
  </si>
  <si>
    <t>Leasing av inventarier och verktyg</t>
  </si>
  <si>
    <t>5222 Leasing av inventarier och verktyg</t>
  </si>
  <si>
    <t>Förbrukningsinventarier</t>
  </si>
  <si>
    <t>5410 Förbrukningsinventarier</t>
  </si>
  <si>
    <t>Dataprogram</t>
  </si>
  <si>
    <t>5420 Dataprogram</t>
  </si>
  <si>
    <t>Förbrukningsemballage</t>
  </si>
  <si>
    <t>5440 Förbrukningsemballage</t>
  </si>
  <si>
    <t>Förbrukningsmaterial</t>
  </si>
  <si>
    <t>5460 Förbrukningsmaterial</t>
  </si>
  <si>
    <t>Tes/Utveckl./prov förbrukning</t>
  </si>
  <si>
    <t>5462 Tes/Utveckl./prov förbrukning</t>
  </si>
  <si>
    <t>Förbrukningsmaterial - verkstad</t>
  </si>
  <si>
    <t>5463 Förbrukningsmaterial - verkstad</t>
  </si>
  <si>
    <t>Arbetskläder och skyddsmaterial</t>
  </si>
  <si>
    <t>Förbrukningsmtr/prov - svetsproduktion</t>
  </si>
  <si>
    <t>5464 Förbrukningsmtr/prov - svetsproduktion</t>
  </si>
  <si>
    <t>Förbrukningsmaterial - kultillverkning</t>
  </si>
  <si>
    <t>5465 Förbrukningsmaterial - kultillverkning</t>
  </si>
  <si>
    <t>Förbrukningsmaterial - Raptor</t>
  </si>
  <si>
    <t>5466 Förbrukningsmaterial - Raptor</t>
  </si>
  <si>
    <t>5480 Arbetskläder och skyddsmaterial</t>
  </si>
  <si>
    <t>Reparation och underhåll (gruppkonto)</t>
  </si>
  <si>
    <t>5500 Reparation och underhåll (gruppkonto)</t>
  </si>
  <si>
    <t>Drivmedel för Fordon/Maskiner</t>
  </si>
  <si>
    <t>5611 Drivmedel för Fordon/Maskiner</t>
  </si>
  <si>
    <t>Försäkring och skatt för Fordon/Maskiner</t>
  </si>
  <si>
    <t>5612 Försäkring och skatt för Fordon/Maskiner</t>
  </si>
  <si>
    <t>Rep och underhåll av Fordon/Maskiner</t>
  </si>
  <si>
    <t>5613 Rep och underhåll av Fordon/Maskiner</t>
  </si>
  <si>
    <t>Leasingavgifter för Fordon/Maskiner</t>
  </si>
  <si>
    <t>5615 Leasingavgifter för Fordon/Maskiner</t>
  </si>
  <si>
    <t>Trängselavgift, avdragsgill</t>
  </si>
  <si>
    <t>5616 Trängselavgift, avdragsgill</t>
  </si>
  <si>
    <t>Övriga personbilskostnader</t>
  </si>
  <si>
    <t>5619 Övriga personbilskostnader</t>
  </si>
  <si>
    <t>Tull- och speditionskostnader</t>
  </si>
  <si>
    <t>5720 Tull- och speditionskostnader</t>
  </si>
  <si>
    <t>Kost och logi i Sverige</t>
  </si>
  <si>
    <t>5831 Kost och logi i Sverige</t>
  </si>
  <si>
    <t>Kost och logi i utlandet</t>
  </si>
  <si>
    <t>5832 Kost och logi i utlandet</t>
  </si>
  <si>
    <t>Tillväxt / business case</t>
  </si>
  <si>
    <t>Övriga resekostnader 25%</t>
  </si>
  <si>
    <t>5890 Övriga resekostnader 25%</t>
  </si>
  <si>
    <t>Kundunderhåll</t>
  </si>
  <si>
    <t>Resekostnader i utlandet + flygbiljetter</t>
  </si>
  <si>
    <t>5891 Resekostnader i utlandet + flygbiljetter</t>
  </si>
  <si>
    <t>Resekostnader 6%</t>
  </si>
  <si>
    <t>5892 Resekostnader 6%</t>
  </si>
  <si>
    <t>Reklam och PR (gruppkonto)</t>
  </si>
  <si>
    <t>5900 Reklam och PR (gruppkonto)</t>
  </si>
  <si>
    <t>Reklamtrycksaker och direktreklam</t>
  </si>
  <si>
    <t>5930 Reklamtrycksaker och direktreklam</t>
  </si>
  <si>
    <t>Mässor o Utställningar</t>
  </si>
  <si>
    <t>5940 Mässor o Utställningar</t>
  </si>
  <si>
    <t>Kundaktiviteter /projektstyrt</t>
  </si>
  <si>
    <t>5941 Kundaktiviteter /projektstyrt</t>
  </si>
  <si>
    <t>Film-, radio-, TV- och internetreklam</t>
  </si>
  <si>
    <t>5970 Film-, radio-, TV- och internetreklam</t>
  </si>
  <si>
    <t>PR, inst. reklam och sponsring</t>
  </si>
  <si>
    <t>5980 PR, inst. reklam och sponsring</t>
  </si>
  <si>
    <t>Övriga kostnader för reklam</t>
  </si>
  <si>
    <t>5990 Övriga kostnader för reklam</t>
  </si>
  <si>
    <t>Representation, avdragsgill</t>
  </si>
  <si>
    <t>6071 Representation, avdragsgill</t>
  </si>
  <si>
    <t>Löpande kundunderhåll</t>
  </si>
  <si>
    <t>Representation, ej avdragsgill</t>
  </si>
  <si>
    <t>6072 Representation, ej avdragsgill</t>
  </si>
  <si>
    <t>Övriga försäljningskostnader</t>
  </si>
  <si>
    <t>6090 Övriga försäljningskostnader</t>
  </si>
  <si>
    <t>Kundutbildning kostnad</t>
  </si>
  <si>
    <t>6091 Kundutbildning kostnad</t>
  </si>
  <si>
    <t>Kundutbildning 12%</t>
  </si>
  <si>
    <t>6092 Kundutbildning 12%</t>
  </si>
  <si>
    <t>Kundutbildning intern</t>
  </si>
  <si>
    <t>6093 Kundutbildning intern</t>
  </si>
  <si>
    <t>IT-tjänster</t>
  </si>
  <si>
    <t>Kontorsmaterial</t>
  </si>
  <si>
    <t>6110 Kontorsmaterial</t>
  </si>
  <si>
    <t>Fast telefoni</t>
  </si>
  <si>
    <t>6211 Fast telefoni</t>
  </si>
  <si>
    <t>Mobiltelefon</t>
  </si>
  <si>
    <t>6212 Mobiltelefon</t>
  </si>
  <si>
    <t>Telefonservice</t>
  </si>
  <si>
    <t>6213 Telefonservice</t>
  </si>
  <si>
    <t>Övriga externa kostnader, avdragsgilla</t>
  </si>
  <si>
    <t>Datakommunikation</t>
  </si>
  <si>
    <t>6230 Datakommunikation</t>
  </si>
  <si>
    <t>Postbefordran</t>
  </si>
  <si>
    <t>6250 Postbefordran</t>
  </si>
  <si>
    <t>Företagsförsäkringar</t>
  </si>
  <si>
    <t>6310 Företagsförsäkringar</t>
  </si>
  <si>
    <t>Konstaterade förluster på kundfordringar</t>
  </si>
  <si>
    <t>6351 Konstaterade förluster på kundfordringar</t>
  </si>
  <si>
    <t>Larm och bevakning</t>
  </si>
  <si>
    <t>6370 Larm och bevakning</t>
  </si>
  <si>
    <t>Revisionsarvoden</t>
  </si>
  <si>
    <t>6420 Revisionsarvoden</t>
  </si>
  <si>
    <t>Löner till företagsledare</t>
  </si>
  <si>
    <t>Management fees</t>
  </si>
  <si>
    <t>6430 Management fees</t>
  </si>
  <si>
    <t>Redovisningstjänster</t>
  </si>
  <si>
    <t>6530 Redovisningstjänster</t>
  </si>
  <si>
    <t>6540 IT-tjänster</t>
  </si>
  <si>
    <t>Konsultarvoden</t>
  </si>
  <si>
    <t>6550 Konsultarvoden</t>
  </si>
  <si>
    <t>Serviceavgifter till branschorganisationer</t>
  </si>
  <si>
    <t>6560 Serviceavgifter till branschorganisationer</t>
  </si>
  <si>
    <t>Bankkostnader</t>
  </si>
  <si>
    <t>6570 Bankkostnader</t>
  </si>
  <si>
    <t>Förändring av semesterlöneskuld</t>
  </si>
  <si>
    <t>Advokat- och rättegångskostnader</t>
  </si>
  <si>
    <t>6580 Advokat- och rättegångskostnader</t>
  </si>
  <si>
    <t>Övriga externa tjänster</t>
  </si>
  <si>
    <t>6590 Övriga externa tjänster</t>
  </si>
  <si>
    <t>Kostnader för egna patent</t>
  </si>
  <si>
    <t>6920 Kostnader för egna patent</t>
  </si>
  <si>
    <t>Skattefria traktamenten, Sverige</t>
  </si>
  <si>
    <t>Kontroll-, provnings- och stämpelavgifter</t>
  </si>
  <si>
    <t>6940 Kontroll-, provnings- och stämpelavgifter</t>
  </si>
  <si>
    <t>Tillsynsavgifter till myndigheter</t>
  </si>
  <si>
    <t>Tidningar, tidskrifter och facklitteratur</t>
  </si>
  <si>
    <t>6970 Tidningar, tidskrifter och facklitteratur</t>
  </si>
  <si>
    <t>Skattefria traktamenten, utlandet</t>
  </si>
  <si>
    <t>Föreningsavgifter, avdragsgilla</t>
  </si>
  <si>
    <t>6981 Föreningsavgifter, avdragsgilla</t>
  </si>
  <si>
    <t>Föreningsavgifter, ej avdragsgilla</t>
  </si>
  <si>
    <t>6982 Föreningsavgifter, ej avdragsgilla</t>
  </si>
  <si>
    <t>6991 Övriga externa kostnader, avdragsgilla</t>
  </si>
  <si>
    <t>Övriga externa kostnader, ej avdragsgilla</t>
  </si>
  <si>
    <t>6992 Övriga externa kostnader, ej avdragsgilla</t>
  </si>
  <si>
    <t>Löner kollektivanställda 1947-1985 (2012)</t>
  </si>
  <si>
    <t>7010 Löner kollektivanställda 1947-1985 (2012)</t>
  </si>
  <si>
    <t>Upplupna löner</t>
  </si>
  <si>
    <t>7019 Upplupna löner</t>
  </si>
  <si>
    <t>7090 Förändring av semesterlöneskuld</t>
  </si>
  <si>
    <t>Löner till tjänstemän födda 1947-1985 (2012)</t>
  </si>
  <si>
    <t>7210 Löner till tjänstemän födda 1947-1985 (2012)</t>
  </si>
  <si>
    <t>7220 Löner till företagsledare</t>
  </si>
  <si>
    <t>Sjuklön</t>
  </si>
  <si>
    <t>7280 Sjuklön</t>
  </si>
  <si>
    <t>Semestertillägg 0,8 %</t>
  </si>
  <si>
    <t>7282 Semestertillägg 0,8 %</t>
  </si>
  <si>
    <t>7290 Förändring av semesterlöneskuld</t>
  </si>
  <si>
    <t>Pensionsförsäkringspremier</t>
  </si>
  <si>
    <t>Personalkostnader ombokat till utvecklingskostnader</t>
  </si>
  <si>
    <t>7300 Personalkostnader ombokat till utvecklingskostnader</t>
  </si>
  <si>
    <t>7321 Skattefria traktamenten, Sverige</t>
  </si>
  <si>
    <t>7323 Skattefria traktamenten, utlandet</t>
  </si>
  <si>
    <t>Skattefria bilersättningar</t>
  </si>
  <si>
    <t>7331 Skattefria bilersättningar</t>
  </si>
  <si>
    <t>Skattepliktiga bilersättningar</t>
  </si>
  <si>
    <t>7332 Skattepliktiga bilersättningar</t>
  </si>
  <si>
    <t>Rikskuponger förmån</t>
  </si>
  <si>
    <t>7380 Rikskuponger förmån</t>
  </si>
  <si>
    <t>Sjukvårdsförsäkring förmån</t>
  </si>
  <si>
    <t>7381 Sjukvårdsförsäkring förmån</t>
  </si>
  <si>
    <t>Bilförmån</t>
  </si>
  <si>
    <t>7385 Bilförmån</t>
  </si>
  <si>
    <t>Korrektivkonto förmånsvärde</t>
  </si>
  <si>
    <t>7399 Korrektivkonto förmånsvärde</t>
  </si>
  <si>
    <t>Särskild löneskatt</t>
  </si>
  <si>
    <t>7410 Pensionsförsäkringspremier</t>
  </si>
  <si>
    <t>Individuell pensionsförsäkring</t>
  </si>
  <si>
    <t>7420 Individuell pensionsförsäkring</t>
  </si>
  <si>
    <t>Direktpension/kapitalförsäkring ej avdragsgill</t>
  </si>
  <si>
    <t>7460 Direktpension/kapitalförsäkring ej avdragsgill</t>
  </si>
  <si>
    <t>Premier för arbetsmarknadsförsäkringar</t>
  </si>
  <si>
    <t>Lagstadgade sociala avgifter</t>
  </si>
  <si>
    <t>7510 Lagstadgade sociala avgifter</t>
  </si>
  <si>
    <t>Sociala avgifter löneskuld &amp; semesterlöneskuld</t>
  </si>
  <si>
    <t>7519 Sociala avgifter löneskuld &amp; semesterlöneskuld</t>
  </si>
  <si>
    <t>7530 Särskild löneskatt</t>
  </si>
  <si>
    <t>7570 Premier för arbetsmarknadsförsäkringar</t>
  </si>
  <si>
    <t>Utbildning</t>
  </si>
  <si>
    <t>7610 Utbildning</t>
  </si>
  <si>
    <t>Sjuk- och hälsovård</t>
  </si>
  <si>
    <t>7620 Sjuk- och hälsovård</t>
  </si>
  <si>
    <t>Motion och friskvård</t>
  </si>
  <si>
    <t>7621 Motion och friskvård</t>
  </si>
  <si>
    <t>Sjuk och hälsovård ej avdragsgill</t>
  </si>
  <si>
    <t>7622 Sjuk och hälsovård ej avdragsgill</t>
  </si>
  <si>
    <t>Personalrepresentation, avdragsgill</t>
  </si>
  <si>
    <t>7631 Personalrepresentation, avdragsgill</t>
  </si>
  <si>
    <t>Personalrepresentation, ej avdragsgill</t>
  </si>
  <si>
    <t>7632 Personalrepresentation, ej avdragsgill</t>
  </si>
  <si>
    <t>Övriga personalkostnader</t>
  </si>
  <si>
    <t>7690 Övriga personalkostnader</t>
  </si>
  <si>
    <t>Övriga personalkostnader momsfritt</t>
  </si>
  <si>
    <t>7691 Övriga personalkostnader momsfritt</t>
  </si>
  <si>
    <t>Övriga personalkostnader 12%</t>
  </si>
  <si>
    <t>7692 Övriga personalkostnader 12%</t>
  </si>
  <si>
    <t>Opex</t>
  </si>
  <si>
    <t>Personal</t>
  </si>
  <si>
    <t>Kominerat med ny lokal</t>
  </si>
  <si>
    <t>Hyra container</t>
  </si>
  <si>
    <t>Datauppkoppling UVXair???</t>
  </si>
  <si>
    <t>IOT Telia</t>
  </si>
  <si>
    <t xml:space="preserve">Potentiellt uppdateringsavtal eller serviceavtal </t>
  </si>
  <si>
    <t>Produktunderhåll, ej capex. Projekt likt broms mm.</t>
  </si>
  <si>
    <t>Tester material</t>
  </si>
  <si>
    <t>Monitor + annat</t>
  </si>
  <si>
    <t>Ersätts personal, men blir management fee.</t>
  </si>
  <si>
    <t>Inga ludcor mm</t>
  </si>
  <si>
    <t>Flytt + fastighetsskatt</t>
  </si>
  <si>
    <t>Capex projekt</t>
  </si>
  <si>
    <t>Kategori</t>
  </si>
  <si>
    <t>Q1</t>
  </si>
  <si>
    <t>Q2</t>
  </si>
  <si>
    <t>Q3</t>
  </si>
  <si>
    <t>Q4</t>
  </si>
  <si>
    <t>Extruder cost out</t>
  </si>
  <si>
    <t>Produkt</t>
  </si>
  <si>
    <t>UVXair kretskort cost out</t>
  </si>
  <si>
    <t>UVXair slim förstudie+fas1</t>
  </si>
  <si>
    <t>FL-ex UVHL</t>
  </si>
  <si>
    <t>E-COM + Web</t>
  </si>
  <si>
    <t>IT</t>
  </si>
  <si>
    <t>Immateriella tillgångar</t>
  </si>
  <si>
    <t>Slitter Roohr</t>
  </si>
  <si>
    <t>Produktion</t>
  </si>
  <si>
    <t>Möbler och inredning Malmö</t>
  </si>
  <si>
    <t>Fastighet</t>
  </si>
  <si>
    <t>Other facility</t>
  </si>
  <si>
    <t>Materiella tillgångar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</si>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</sst>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4" fillId="4" borderId="1" xfId="0" applyFont="1" applyFill="1" applyBorder="1"/>
    <xf numFmtId="0" fontId="4" fillId="0" borderId="1" xfId="0" applyFont="1" applyBorder="1"/>
    <xf numFmtId="49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49" fontId="5" fillId="0" borderId="0" xfId="0" applyNumberFormat="1" applyFont="1" applyAlignment="1">
      <alignment horizontal="right"/>
    </xf>
    <xf numFmtId="0" fontId="6" fillId="5" borderId="0" xfId="0" applyFont="1" applyFill="1"/>
    <xf numFmtId="49" fontId="7" fillId="2" borderId="0" xfId="0" applyNumberFormat="1" applyFont="1" applyFill="1" applyAlignment="1">
      <alignment horizontal="left"/>
    </xf>
    <xf numFmtId="3" fontId="8" fillId="5" borderId="0" xfId="0" applyNumberFormat="1" applyFont="1" applyFill="1" applyAlignment="1">
      <alignment horizontal="right"/>
    </xf>
    <xf numFmtId="3" fontId="8" fillId="3" borderId="0" xfId="0" applyNumberFormat="1" applyFont="1" applyFill="1" applyAlignment="1">
      <alignment horizontal="right"/>
    </xf>
    <xf numFmtId="0" fontId="3" fillId="3" borderId="0" xfId="0" applyFont="1" applyFill="1"/>
    <xf numFmtId="49" fontId="9" fillId="2" borderId="0" xfId="0" applyNumberFormat="1" applyFont="1" applyFill="1" applyAlignment="1">
      <alignment horizontal="left"/>
    </xf>
    <xf numFmtId="0" fontId="10" fillId="3" borderId="0" xfId="0" applyFont="1" applyFill="1"/>
    <xf numFmtId="0" fontId="10" fillId="0" borderId="0" xfId="0" applyFont="1"/>
    <xf numFmtId="0" fontId="10" fillId="6" borderId="0" xfId="0" applyFont="1" applyFill="1"/>
    <xf numFmtId="0" fontId="0" fillId="6" borderId="0" xfId="0" applyFill="1"/>
    <xf numFmtId="49" fontId="8" fillId="2" borderId="0" xfId="0" applyNumberFormat="1" applyFont="1" applyFill="1" applyAlignment="1">
      <alignment horizontal="left"/>
    </xf>
    <xf numFmtId="0" fontId="11" fillId="0" borderId="0" xfId="0" applyFont="1"/>
    <xf numFmtId="0" fontId="3" fillId="0" borderId="0" xfId="0" applyFont="1"/>
    <xf numFmtId="164" fontId="8" fillId="5" borderId="0" xfId="0" applyNumberFormat="1" applyFont="1" applyFill="1" applyAlignment="1">
      <alignment horizontal="right"/>
    </xf>
    <xf numFmtId="3" fontId="7" fillId="5" borderId="0" xfId="0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165" fontId="9" fillId="5" borderId="0" xfId="1" applyNumberFormat="1" applyFont="1" applyFill="1" applyAlignment="1">
      <alignment horizontal="right"/>
    </xf>
    <xf numFmtId="165" fontId="9" fillId="3" borderId="0" xfId="1" applyNumberFormat="1" applyFont="1" applyFill="1" applyAlignment="1">
      <alignment horizontal="right"/>
    </xf>
    <xf numFmtId="3" fontId="0" fillId="3" borderId="0" xfId="0" applyNumberFormat="1" applyFill="1"/>
    <xf numFmtId="3" fontId="0" fillId="0" borderId="0" xfId="0" applyNumberFormat="1"/>
    <xf numFmtId="49" fontId="7" fillId="2" borderId="2" xfId="0" applyNumberFormat="1" applyFont="1" applyFill="1" applyBorder="1" applyAlignment="1">
      <alignment horizontal="left"/>
    </xf>
    <xf numFmtId="3" fontId="7" fillId="5" borderId="2" xfId="0" applyNumberFormat="1" applyFont="1" applyFill="1" applyBorder="1" applyAlignment="1">
      <alignment horizontal="right"/>
    </xf>
    <xf numFmtId="3" fontId="7" fillId="3" borderId="2" xfId="0" applyNumberFormat="1" applyFont="1" applyFill="1" applyBorder="1" applyAlignment="1">
      <alignment horizontal="right"/>
    </xf>
    <xf numFmtId="165" fontId="9" fillId="5" borderId="0" xfId="1" applyNumberFormat="1" applyFont="1" applyFill="1" applyBorder="1" applyAlignment="1">
      <alignment horizontal="right"/>
    </xf>
    <xf numFmtId="165" fontId="9" fillId="3" borderId="0" xfId="1" applyNumberFormat="1" applyFont="1" applyFill="1" applyBorder="1" applyAlignment="1">
      <alignment horizontal="right"/>
    </xf>
    <xf numFmtId="164" fontId="7" fillId="5" borderId="0" xfId="0" applyNumberFormat="1" applyFont="1" applyFill="1"/>
    <xf numFmtId="0" fontId="7" fillId="2" borderId="2" xfId="0" applyFont="1" applyFill="1" applyBorder="1"/>
    <xf numFmtId="0" fontId="12" fillId="2" borderId="0" xfId="0" applyFont="1" applyFill="1"/>
    <xf numFmtId="164" fontId="7" fillId="5" borderId="0" xfId="0" applyNumberFormat="1" applyFont="1" applyFill="1" applyAlignment="1">
      <alignment horizontal="right"/>
    </xf>
    <xf numFmtId="0" fontId="6" fillId="2" borderId="0" xfId="0" applyFont="1" applyFill="1"/>
    <xf numFmtId="164" fontId="8" fillId="5" borderId="0" xfId="0" applyNumberFormat="1" applyFont="1" applyFill="1"/>
    <xf numFmtId="3" fontId="7" fillId="5" borderId="2" xfId="0" applyNumberFormat="1" applyFont="1" applyFill="1" applyBorder="1"/>
    <xf numFmtId="3" fontId="7" fillId="3" borderId="2" xfId="0" applyNumberFormat="1" applyFont="1" applyFill="1" applyBorder="1"/>
    <xf numFmtId="3" fontId="7" fillId="3" borderId="0" xfId="0" applyNumberFormat="1" applyFont="1" applyFill="1"/>
    <xf numFmtId="164" fontId="8" fillId="3" borderId="0" xfId="0" applyNumberFormat="1" applyFont="1" applyFill="1"/>
    <xf numFmtId="164" fontId="7" fillId="3" borderId="0" xfId="0" applyNumberFormat="1" applyFont="1" applyFill="1" applyAlignment="1">
      <alignment horizontal="right"/>
    </xf>
    <xf numFmtId="164" fontId="8" fillId="3" borderId="0" xfId="0" applyNumberFormat="1" applyFont="1" applyFill="1" applyAlignment="1">
      <alignment horizontal="right"/>
    </xf>
    <xf numFmtId="165" fontId="10" fillId="3" borderId="0" xfId="0" applyNumberFormat="1" applyFont="1" applyFill="1"/>
    <xf numFmtId="165" fontId="9" fillId="3" borderId="0" xfId="0" applyNumberFormat="1" applyFont="1" applyFill="1" applyAlignment="1">
      <alignment horizontal="right"/>
    </xf>
    <xf numFmtId="0" fontId="0" fillId="0" borderId="3" xfId="0" applyBorder="1"/>
    <xf numFmtId="0" fontId="0" fillId="0" borderId="0" xfId="0" applyAlignment="1">
      <alignment horizontal="left"/>
    </xf>
    <xf numFmtId="3" fontId="0" fillId="0" borderId="3" xfId="0" applyNumberFormat="1" applyBorder="1"/>
    <xf numFmtId="0" fontId="2" fillId="0" borderId="0" xfId="0" applyFont="1" applyAlignment="1">
      <alignment horizontal="left"/>
    </xf>
    <xf numFmtId="0" fontId="0" fillId="3" borderId="3" xfId="0" applyFill="1" applyBorder="1"/>
    <xf numFmtId="3" fontId="3" fillId="0" borderId="3" xfId="0" applyNumberFormat="1" applyFont="1" applyBorder="1"/>
    <xf numFmtId="0" fontId="2" fillId="0" borderId="0" xfId="0" applyFont="1"/>
    <xf numFmtId="0" fontId="0" fillId="7" borderId="3" xfId="0" applyFill="1" applyBorder="1"/>
    <xf numFmtId="0" fontId="3" fillId="8" borderId="0" xfId="0" applyFont="1" applyFill="1"/>
    <xf numFmtId="0" fontId="0" fillId="3" borderId="4" xfId="0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srv1.sp.local/Ekonomi/Budget/Budget%202026/Adj/Budget%20Sacpro%20Group%20v2.xlsx" TargetMode="External"/><Relationship Id="rId1" Type="http://schemas.openxmlformats.org/officeDocument/2006/relationships/externalLinkPath" Target="Budget%20Sacpro%20Group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"/>
      <sheetName val="Brygga BU prel"/>
      <sheetName val="RR BU prel"/>
      <sheetName val="Cash flow"/>
      <sheetName val="CF"/>
      <sheetName val="CAPEX"/>
      <sheetName val="RR BU Koncern legal IC UVXair"/>
      <sheetName val="RR BU Koncern"/>
      <sheetName val="R&amp;D 10+11"/>
      <sheetName val="Butik Sthlm"/>
      <sheetName val="Butikbolag Norge"/>
      <sheetName val="Sälj 110"/>
      <sheetName val="Marknadsföring 205"/>
      <sheetName val="Produktion - overhead 13 + 117 "/>
      <sheetName val="Produktion - 103 direkt prod"/>
      <sheetName val="Produktion - 114 inköp och lage"/>
      <sheetName val="R12 pivot"/>
      <sheetName val="Produktion - 201 Fordon"/>
      <sheetName val="Produktion - 200 lokalkostnader"/>
      <sheetName val="Admin 112+113+206"/>
      <sheetName val="Förteckning KST"/>
      <sheetName val="Indata R12 SP AB"/>
      <sheetName val="Sacpro AB SUMMA ALLA KST"/>
      <sheetName val="INTRO"/>
      <sheetName val="Sacpro Oy"/>
      <sheetName val="Sacpro Group "/>
      <sheetName val="Svedlunds flagg"/>
      <sheetName val="UVR ---&gt; "/>
      <sheetName val="R12"/>
      <sheetName val="Sälj"/>
      <sheetName val="Produktion dir+lager"/>
      <sheetName val="Produktion OH "/>
      <sheetName val="Produktutveckling"/>
      <sheetName val="Admin"/>
      <sheetName val="Ny lokal"/>
      <sheetName val="UVR summa samtliga KST"/>
      <sheetName val="Mall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BH8">
            <v>79850.658048479992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6F82-5BC0-4A25-A7C8-CAAED547CB0F}">
  <sheetPr>
    <outlinePr summaryBelow="0"/>
  </sheetPr>
  <dimension ref="C1:CV63"/>
  <sheetViews>
    <sheetView tabSelected="1" zoomScaleNormal="100" workbookViewId="0">
      <pane xSplit="3" ySplit="6" topLeftCell="F7" activePane="bottomRight" state="frozen"/>
      <selection pane="bottomLeft" activeCell="A7" sqref="A7"/>
      <selection pane="topRight" activeCell="B1" sqref="B1"/>
      <selection pane="bottomRight" activeCell="S10" sqref="S10"/>
    </sheetView>
  </sheetViews>
  <sheetFormatPr defaultRowHeight="15" outlineLevelRow="1" x14ac:dyDescent="0.2"/>
  <cols>
    <col min="3" max="3" width="23.5390625" style="1" bestFit="1" customWidth="1"/>
    <col min="4" max="4" width="23.13671875" bestFit="1" customWidth="1"/>
    <col min="18" max="18" width="11.56640625" bestFit="1" customWidth="1"/>
    <col min="19" max="19" width="10.0859375" bestFit="1" customWidth="1"/>
    <col min="32" max="32" width="11.56640625" bestFit="1" customWidth="1"/>
    <col min="33" max="33" width="10.0859375" bestFit="1" customWidth="1"/>
    <col min="46" max="46" width="8.33984375" customWidth="1"/>
    <col min="47" max="47" width="10.0859375" bestFit="1" customWidth="1"/>
    <col min="60" max="60" width="8.33984375" customWidth="1"/>
    <col min="74" max="74" width="8.33984375" customWidth="1"/>
    <col min="88" max="88" width="8.33984375" customWidth="1"/>
  </cols>
  <sheetData>
    <row r="1" spans="3:100" x14ac:dyDescent="0.2">
      <c r="D1" s="2"/>
      <c r="E1" s="2"/>
      <c r="K1" s="3"/>
      <c r="R1" s="2"/>
      <c r="S1" s="2"/>
      <c r="AF1" s="2"/>
      <c r="AG1" s="2"/>
      <c r="AT1" s="2"/>
      <c r="BH1" s="2"/>
      <c r="BV1" s="2"/>
      <c r="CJ1" s="2"/>
    </row>
    <row r="2" spans="3:100" x14ac:dyDescent="0.2">
      <c r="D2" s="2"/>
      <c r="E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T2" s="2"/>
      <c r="BH2" s="2"/>
      <c r="BV2" s="2"/>
      <c r="CJ2" s="2"/>
    </row>
    <row r="3" spans="3:100" x14ac:dyDescent="0.2">
      <c r="D3" s="2"/>
      <c r="E3" s="2"/>
      <c r="R3" s="2"/>
      <c r="S3" s="2"/>
      <c r="AF3" s="2"/>
      <c r="AG3" s="2"/>
      <c r="AT3" s="2"/>
      <c r="BH3" s="2"/>
      <c r="BV3" s="2"/>
      <c r="CJ3" s="2"/>
    </row>
    <row r="4" spans="3:100" x14ac:dyDescent="0.2">
      <c r="D4" s="2" t="s">
        <v>0</v>
      </c>
      <c r="R4" s="2" t="s">
        <v>1</v>
      </c>
      <c r="AF4" s="2" t="s">
        <v>2</v>
      </c>
      <c r="AT4" t="s">
        <v>3</v>
      </c>
      <c r="BH4" t="s">
        <v>4</v>
      </c>
      <c r="BV4" t="s">
        <v>5</v>
      </c>
      <c r="CJ4" t="s">
        <v>6</v>
      </c>
    </row>
    <row r="5" spans="3:100" x14ac:dyDescent="0.2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</row>
    <row r="6" spans="3:100" x14ac:dyDescent="0.2">
      <c r="D6" s="6" t="s">
        <v>7</v>
      </c>
      <c r="E6" s="7">
        <v>2601</v>
      </c>
      <c r="F6" s="7">
        <v>2602</v>
      </c>
      <c r="G6" s="7">
        <v>2603</v>
      </c>
      <c r="H6" s="7">
        <v>2604</v>
      </c>
      <c r="I6" s="7">
        <v>2605</v>
      </c>
      <c r="J6" s="7">
        <v>2606</v>
      </c>
      <c r="K6" s="7">
        <v>2607</v>
      </c>
      <c r="L6" s="7">
        <v>2608</v>
      </c>
      <c r="M6" s="7">
        <v>2609</v>
      </c>
      <c r="N6" s="7">
        <v>2610</v>
      </c>
      <c r="O6" s="7">
        <v>2611</v>
      </c>
      <c r="P6" s="7">
        <v>2612</v>
      </c>
      <c r="Q6" s="7"/>
      <c r="R6" s="6" t="s">
        <v>7</v>
      </c>
      <c r="S6" s="6" t="s">
        <v>8</v>
      </c>
      <c r="T6" s="6" t="s">
        <v>9</v>
      </c>
      <c r="U6" s="6" t="s">
        <v>10</v>
      </c>
      <c r="V6" s="6" t="s">
        <v>11</v>
      </c>
      <c r="W6" s="6" t="s">
        <v>12</v>
      </c>
      <c r="X6" s="6" t="s">
        <v>13</v>
      </c>
      <c r="Y6" s="6" t="s">
        <v>14</v>
      </c>
      <c r="Z6" s="6" t="s">
        <v>15</v>
      </c>
      <c r="AA6" s="6" t="s">
        <v>16</v>
      </c>
      <c r="AB6" s="6" t="s">
        <v>17</v>
      </c>
      <c r="AC6" s="6" t="s">
        <v>18</v>
      </c>
      <c r="AD6" s="6" t="s">
        <v>19</v>
      </c>
      <c r="AE6" s="8"/>
      <c r="AF6" s="6" t="s">
        <v>7</v>
      </c>
      <c r="AG6" s="6" t="s">
        <v>8</v>
      </c>
      <c r="AH6" s="6" t="s">
        <v>9</v>
      </c>
      <c r="AI6" s="6" t="s">
        <v>10</v>
      </c>
      <c r="AJ6" s="6" t="s">
        <v>11</v>
      </c>
      <c r="AK6" s="6" t="s">
        <v>12</v>
      </c>
      <c r="AL6" s="6" t="s">
        <v>13</v>
      </c>
      <c r="AM6" s="6" t="s">
        <v>14</v>
      </c>
      <c r="AN6" s="6" t="s">
        <v>15</v>
      </c>
      <c r="AO6" s="6" t="s">
        <v>16</v>
      </c>
      <c r="AP6" s="6" t="s">
        <v>17</v>
      </c>
      <c r="AQ6" s="6" t="s">
        <v>18</v>
      </c>
      <c r="AR6" s="6" t="s">
        <v>19</v>
      </c>
      <c r="AT6" s="6" t="s">
        <v>7</v>
      </c>
      <c r="AU6" s="6" t="s">
        <v>8</v>
      </c>
      <c r="AV6" s="6" t="s">
        <v>9</v>
      </c>
      <c r="AW6" s="6" t="s">
        <v>10</v>
      </c>
      <c r="AX6" s="6" t="s">
        <v>11</v>
      </c>
      <c r="AY6" s="6" t="s">
        <v>12</v>
      </c>
      <c r="AZ6" s="6" t="s">
        <v>13</v>
      </c>
      <c r="BA6" s="6" t="s">
        <v>14</v>
      </c>
      <c r="BB6" s="6" t="s">
        <v>15</v>
      </c>
      <c r="BC6" s="6" t="s">
        <v>16</v>
      </c>
      <c r="BD6" s="6" t="s">
        <v>17</v>
      </c>
      <c r="BE6" s="6" t="s">
        <v>18</v>
      </c>
      <c r="BF6" s="6" t="s">
        <v>19</v>
      </c>
      <c r="BH6" s="6" t="s">
        <v>7</v>
      </c>
      <c r="BI6" s="6" t="s">
        <v>8</v>
      </c>
      <c r="BJ6" s="6" t="s">
        <v>9</v>
      </c>
      <c r="BK6" s="6" t="s">
        <v>10</v>
      </c>
      <c r="BL6" s="6" t="s">
        <v>11</v>
      </c>
      <c r="BM6" s="6" t="s">
        <v>12</v>
      </c>
      <c r="BN6" s="6" t="s">
        <v>13</v>
      </c>
      <c r="BO6" s="6" t="s">
        <v>14</v>
      </c>
      <c r="BP6" s="6" t="s">
        <v>15</v>
      </c>
      <c r="BQ6" s="6" t="s">
        <v>16</v>
      </c>
      <c r="BR6" s="6" t="s">
        <v>17</v>
      </c>
      <c r="BS6" s="6" t="s">
        <v>18</v>
      </c>
      <c r="BT6" s="6" t="s">
        <v>19</v>
      </c>
      <c r="BV6" s="6" t="s">
        <v>7</v>
      </c>
      <c r="BW6" s="6" t="s">
        <v>8</v>
      </c>
      <c r="BX6" s="6" t="s">
        <v>9</v>
      </c>
      <c r="BY6" s="6" t="s">
        <v>10</v>
      </c>
      <c r="BZ6" s="6" t="s">
        <v>11</v>
      </c>
      <c r="CA6" s="6" t="s">
        <v>12</v>
      </c>
      <c r="CB6" s="6" t="s">
        <v>13</v>
      </c>
      <c r="CC6" s="6" t="s">
        <v>14</v>
      </c>
      <c r="CD6" s="6" t="s">
        <v>15</v>
      </c>
      <c r="CE6" s="6" t="s">
        <v>16</v>
      </c>
      <c r="CF6" s="6" t="s">
        <v>17</v>
      </c>
      <c r="CG6" s="6" t="s">
        <v>18</v>
      </c>
      <c r="CH6" s="6" t="s">
        <v>19</v>
      </c>
      <c r="CJ6" s="6" t="s">
        <v>7</v>
      </c>
      <c r="CK6" s="6" t="s">
        <v>8</v>
      </c>
      <c r="CL6" s="6" t="s">
        <v>9</v>
      </c>
      <c r="CM6" s="6" t="s">
        <v>10</v>
      </c>
      <c r="CN6" s="6" t="s">
        <v>11</v>
      </c>
      <c r="CO6" s="6" t="s">
        <v>12</v>
      </c>
      <c r="CP6" s="6" t="s">
        <v>13</v>
      </c>
      <c r="CQ6" s="6" t="s">
        <v>14</v>
      </c>
      <c r="CR6" s="6" t="s">
        <v>15</v>
      </c>
      <c r="CS6" s="6" t="s">
        <v>16</v>
      </c>
      <c r="CT6" s="6" t="s">
        <v>17</v>
      </c>
      <c r="CU6" s="6" t="s">
        <v>18</v>
      </c>
      <c r="CV6" s="6" t="s">
        <v>19</v>
      </c>
    </row>
    <row r="7" spans="3:100" x14ac:dyDescent="0.2"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9"/>
      <c r="S7" s="2"/>
      <c r="AF7" s="9"/>
      <c r="AG7" s="2"/>
      <c r="AT7" s="9"/>
      <c r="BH7" s="9"/>
      <c r="BV7" s="9"/>
      <c r="CJ7" s="9"/>
    </row>
    <row r="8" spans="3:100" x14ac:dyDescent="0.2">
      <c r="C8" s="10" t="s">
        <v>20</v>
      </c>
      <c r="D8" s="11">
        <v>243055.00675644533</v>
      </c>
      <c r="E8" s="12">
        <v>16234.402276767312</v>
      </c>
      <c r="F8" s="12">
        <v>19632.114088430681</v>
      </c>
      <c r="G8" s="12">
        <v>18493.575524712909</v>
      </c>
      <c r="H8" s="12">
        <v>22760.089160444051</v>
      </c>
      <c r="I8" s="12">
        <v>22005.466334837089</v>
      </c>
      <c r="J8" s="12">
        <v>24559.258229792096</v>
      </c>
      <c r="K8" s="12">
        <v>9196.2409402373651</v>
      </c>
      <c r="L8" s="12">
        <v>23041.946057427187</v>
      </c>
      <c r="M8" s="12">
        <v>22344.531443290354</v>
      </c>
      <c r="N8" s="12">
        <v>25218.408253270842</v>
      </c>
      <c r="O8" s="12">
        <v>25321.703362069347</v>
      </c>
      <c r="P8" s="12">
        <v>14247.271085166105</v>
      </c>
      <c r="Q8" s="12"/>
      <c r="R8" s="11">
        <v>-10620</v>
      </c>
      <c r="S8" s="13">
        <v>-590</v>
      </c>
      <c r="T8" s="13">
        <v>-1180</v>
      </c>
      <c r="U8" s="13">
        <v>-590</v>
      </c>
      <c r="V8" s="13">
        <v>-1180</v>
      </c>
      <c r="W8" s="13">
        <v>-590</v>
      </c>
      <c r="X8" s="13">
        <v>-1180</v>
      </c>
      <c r="Y8" s="13">
        <v>-590</v>
      </c>
      <c r="Z8" s="13">
        <v>-590</v>
      </c>
      <c r="AA8" s="13">
        <v>-1180</v>
      </c>
      <c r="AB8" s="13">
        <v>-1180</v>
      </c>
      <c r="AC8" s="13">
        <v>-1180</v>
      </c>
      <c r="AD8" s="13">
        <v>-590</v>
      </c>
      <c r="AF8" s="11">
        <v>161556.07794796536</v>
      </c>
      <c r="AG8" s="2">
        <v>11167.015041471013</v>
      </c>
      <c r="AH8" s="2">
        <v>13259.125800343703</v>
      </c>
      <c r="AI8" s="2">
        <v>11802.49259258353</v>
      </c>
      <c r="AJ8" s="2">
        <v>15432.816940229872</v>
      </c>
      <c r="AK8" s="2">
        <v>14678.194114622909</v>
      </c>
      <c r="AL8" s="2">
        <v>16595.796721493116</v>
      </c>
      <c r="AM8" s="2">
        <v>6388.7386898589493</v>
      </c>
      <c r="AN8" s="2">
        <v>14727.167428464727</v>
      </c>
      <c r="AO8" s="2">
        <v>14699.164579033777</v>
      </c>
      <c r="AP8" s="2">
        <v>16936.852100929464</v>
      </c>
      <c r="AQ8" s="2">
        <v>17040.147209727969</v>
      </c>
      <c r="AR8" s="2">
        <v>8828.5667292063245</v>
      </c>
      <c r="AT8" s="11">
        <v>10068.270759999998</v>
      </c>
      <c r="AU8" s="2">
        <v>654.43759939999995</v>
      </c>
      <c r="AV8" s="2">
        <v>755.12030699999991</v>
      </c>
      <c r="AW8" s="2">
        <v>805.46166079999989</v>
      </c>
      <c r="AX8" s="2">
        <v>906.14436839999985</v>
      </c>
      <c r="AY8" s="2">
        <v>906.14436839999985</v>
      </c>
      <c r="AZ8" s="2">
        <v>1006.8270759999999</v>
      </c>
      <c r="BA8" s="2">
        <v>402.73083039999995</v>
      </c>
      <c r="BB8" s="2">
        <v>956.48572219999994</v>
      </c>
      <c r="BC8" s="2">
        <v>956.48572219999994</v>
      </c>
      <c r="BD8" s="2">
        <v>1057.1684298</v>
      </c>
      <c r="BE8" s="2">
        <v>1057.1684298</v>
      </c>
      <c r="BF8" s="2">
        <v>604.09624559999997</v>
      </c>
      <c r="BH8" s="11">
        <v>79850.658048479992</v>
      </c>
      <c r="BI8" s="2">
        <v>4819.6163025629648</v>
      </c>
      <c r="BJ8" s="2">
        <v>6614.5346477536468</v>
      </c>
      <c r="BK8" s="2">
        <v>6292.2879379960468</v>
      </c>
      <c r="BL8" s="2">
        <v>7417.7945184808468</v>
      </c>
      <c r="BM8" s="2">
        <v>6827.7945184808468</v>
      </c>
      <c r="BN8" s="2">
        <v>7953.3010989656468</v>
      </c>
      <c r="BO8" s="2">
        <v>2811.4380866450824</v>
      </c>
      <c r="BP8" s="2">
        <v>7764.9595734291288</v>
      </c>
      <c r="BQ8" s="2">
        <v>7685.5478087232468</v>
      </c>
      <c r="BR8" s="2">
        <v>8221.0543892080459</v>
      </c>
      <c r="BS8" s="2">
        <v>8221.0543892080459</v>
      </c>
      <c r="BT8" s="2">
        <v>5221.2747770264459</v>
      </c>
      <c r="BV8" s="11">
        <v>2199.9999999999995</v>
      </c>
      <c r="BW8">
        <v>183.33333333333334</v>
      </c>
      <c r="BX8">
        <v>183.33333333333334</v>
      </c>
      <c r="BY8">
        <v>183.33333333333334</v>
      </c>
      <c r="BZ8">
        <v>183.33333333333334</v>
      </c>
      <c r="CA8">
        <v>183.33333333333334</v>
      </c>
      <c r="CB8">
        <v>183.33333333333334</v>
      </c>
      <c r="CC8">
        <v>183.33333333333334</v>
      </c>
      <c r="CD8">
        <v>183.33333333333334</v>
      </c>
      <c r="CE8">
        <v>183.33333333333334</v>
      </c>
      <c r="CF8">
        <v>183.33333333333334</v>
      </c>
      <c r="CG8">
        <v>183.33333333333334</v>
      </c>
      <c r="CH8">
        <v>183.33333333333334</v>
      </c>
      <c r="CJ8" s="11">
        <v>0</v>
      </c>
    </row>
    <row r="9" spans="3:100" outlineLevel="1" x14ac:dyDescent="0.2">
      <c r="C9" s="14" t="s">
        <v>20</v>
      </c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F9" s="11"/>
      <c r="AG9" s="15">
        <v>10577.015041471013</v>
      </c>
      <c r="AH9" s="15">
        <v>12669.125800343703</v>
      </c>
      <c r="AI9" s="15">
        <v>11212.49259258353</v>
      </c>
      <c r="AJ9" s="15">
        <v>14842.816940229872</v>
      </c>
      <c r="AK9" s="15">
        <v>14088.194114622909</v>
      </c>
      <c r="AL9" s="15">
        <v>16005.796721493116</v>
      </c>
      <c r="AM9" s="15">
        <v>5798.7386898589493</v>
      </c>
      <c r="AN9" s="15">
        <v>14137.167428464727</v>
      </c>
      <c r="AO9" s="15">
        <v>14109.164579033777</v>
      </c>
      <c r="AP9" s="15">
        <v>16346.852100929464</v>
      </c>
      <c r="AQ9" s="15">
        <v>16450.147209727969</v>
      </c>
      <c r="AR9" s="15">
        <v>8238.5667292063245</v>
      </c>
      <c r="AT9" s="11"/>
      <c r="AU9" s="16">
        <v>654.43759939999995</v>
      </c>
      <c r="AV9" s="16">
        <v>755.12030699999991</v>
      </c>
      <c r="AW9" s="16">
        <v>805.46166079999989</v>
      </c>
      <c r="AX9" s="16">
        <v>906.14436839999985</v>
      </c>
      <c r="AY9" s="16">
        <v>906.14436839999985</v>
      </c>
      <c r="AZ9" s="16">
        <v>1006.8270759999999</v>
      </c>
      <c r="BA9" s="16">
        <v>402.73083039999995</v>
      </c>
      <c r="BB9" s="16">
        <v>956.48572219999994</v>
      </c>
      <c r="BC9" s="16">
        <v>956.48572219999994</v>
      </c>
      <c r="BD9" s="16">
        <v>1057.1684298</v>
      </c>
      <c r="BE9" s="16">
        <v>1057.1684298</v>
      </c>
      <c r="BF9" s="16">
        <v>604.09624559999997</v>
      </c>
      <c r="BH9" s="11"/>
      <c r="BI9" s="16">
        <v>4229.6163025629648</v>
      </c>
      <c r="BJ9" s="16">
        <v>5434.5346477536468</v>
      </c>
      <c r="BK9" s="16">
        <v>5702.2879379960468</v>
      </c>
      <c r="BL9" s="16">
        <v>6237.7945184808468</v>
      </c>
      <c r="BM9" s="16">
        <v>6237.7945184808468</v>
      </c>
      <c r="BN9" s="16">
        <v>6773.3010989656468</v>
      </c>
      <c r="BO9" s="16">
        <v>2221.4380866450824</v>
      </c>
      <c r="BP9" s="16">
        <v>7174.9595734291288</v>
      </c>
      <c r="BQ9" s="16">
        <v>6505.5478087232468</v>
      </c>
      <c r="BR9" s="16">
        <v>7041.0543892080468</v>
      </c>
      <c r="BS9" s="16">
        <v>7041.0543892080468</v>
      </c>
      <c r="BT9" s="16">
        <v>4631.2747770264459</v>
      </c>
      <c r="BV9" s="11"/>
      <c r="CJ9" s="11"/>
    </row>
    <row r="10" spans="3:100" outlineLevel="1" x14ac:dyDescent="0.2">
      <c r="C10" s="14" t="s">
        <v>21</v>
      </c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/>
      <c r="S10" s="17">
        <v>-590</v>
      </c>
      <c r="T10" s="17">
        <v>-1180</v>
      </c>
      <c r="U10" s="17">
        <v>-590</v>
      </c>
      <c r="V10" s="17">
        <v>-1180</v>
      </c>
      <c r="W10" s="17">
        <v>-590</v>
      </c>
      <c r="X10" s="17">
        <v>-1180</v>
      </c>
      <c r="Y10" s="17">
        <v>-590</v>
      </c>
      <c r="Z10" s="17">
        <v>-590</v>
      </c>
      <c r="AA10" s="17">
        <v>-1180</v>
      </c>
      <c r="AB10" s="17">
        <v>-1180</v>
      </c>
      <c r="AC10" s="17">
        <v>-1180</v>
      </c>
      <c r="AD10" s="17">
        <v>-590</v>
      </c>
      <c r="AF10" s="11"/>
      <c r="AG10" s="18">
        <v>590</v>
      </c>
      <c r="AH10" s="18">
        <v>590</v>
      </c>
      <c r="AI10" s="18">
        <v>590</v>
      </c>
      <c r="AJ10" s="18">
        <v>590</v>
      </c>
      <c r="AK10" s="18">
        <v>590</v>
      </c>
      <c r="AL10" s="18">
        <v>590</v>
      </c>
      <c r="AM10" s="18">
        <v>590</v>
      </c>
      <c r="AN10" s="18">
        <v>590</v>
      </c>
      <c r="AO10" s="18">
        <v>590</v>
      </c>
      <c r="AP10" s="18">
        <v>590</v>
      </c>
      <c r="AQ10" s="18">
        <v>590</v>
      </c>
      <c r="AR10" s="18">
        <v>590</v>
      </c>
      <c r="AT10" s="11"/>
      <c r="BH10" s="11"/>
      <c r="BI10" s="17">
        <v>590</v>
      </c>
      <c r="BJ10" s="17">
        <v>1180</v>
      </c>
      <c r="BK10" s="17">
        <v>590</v>
      </c>
      <c r="BL10" s="17">
        <v>1180</v>
      </c>
      <c r="BM10" s="17">
        <v>590</v>
      </c>
      <c r="BN10" s="17">
        <v>1180</v>
      </c>
      <c r="BO10" s="17">
        <v>590</v>
      </c>
      <c r="BP10" s="17">
        <v>590</v>
      </c>
      <c r="BQ10" s="17">
        <v>1180</v>
      </c>
      <c r="BR10" s="17">
        <v>1180</v>
      </c>
      <c r="BS10" s="17">
        <v>1180</v>
      </c>
      <c r="BT10" s="17">
        <v>590</v>
      </c>
      <c r="BV10" s="11"/>
      <c r="CJ10" s="11"/>
    </row>
    <row r="11" spans="3:100" x14ac:dyDescent="0.2">
      <c r="C11" s="19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F11" s="11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T11" s="11"/>
      <c r="BH11" s="11"/>
      <c r="BV11" s="11"/>
      <c r="CJ11" s="11"/>
    </row>
    <row r="12" spans="3:100" x14ac:dyDescent="0.2">
      <c r="C12" s="19" t="s">
        <v>22</v>
      </c>
      <c r="D12" s="11">
        <v>1860</v>
      </c>
      <c r="E12" s="12">
        <v>155</v>
      </c>
      <c r="F12" s="12">
        <v>155</v>
      </c>
      <c r="G12" s="12">
        <v>155</v>
      </c>
      <c r="H12" s="12">
        <v>155</v>
      </c>
      <c r="I12" s="12">
        <v>155</v>
      </c>
      <c r="J12" s="12">
        <v>155</v>
      </c>
      <c r="K12" s="12">
        <v>155</v>
      </c>
      <c r="L12" s="12">
        <v>155</v>
      </c>
      <c r="M12" s="12">
        <v>155</v>
      </c>
      <c r="N12" s="12">
        <v>155</v>
      </c>
      <c r="O12" s="12">
        <v>155</v>
      </c>
      <c r="P12" s="12">
        <v>155</v>
      </c>
      <c r="Q12" s="12"/>
      <c r="R12" s="11">
        <v>0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F12" s="11">
        <v>1200</v>
      </c>
      <c r="AG12" s="20">
        <v>100</v>
      </c>
      <c r="AH12" s="20">
        <v>100</v>
      </c>
      <c r="AI12" s="20">
        <v>100</v>
      </c>
      <c r="AJ12" s="20">
        <v>100</v>
      </c>
      <c r="AK12" s="20">
        <v>100</v>
      </c>
      <c r="AL12" s="20">
        <v>100</v>
      </c>
      <c r="AM12" s="20">
        <v>100</v>
      </c>
      <c r="AN12" s="20">
        <v>100</v>
      </c>
      <c r="AO12" s="20">
        <v>100</v>
      </c>
      <c r="AP12" s="20">
        <v>100</v>
      </c>
      <c r="AQ12" s="20">
        <v>100</v>
      </c>
      <c r="AR12" s="20">
        <v>100</v>
      </c>
      <c r="AT12" s="11">
        <v>0</v>
      </c>
      <c r="BH12" s="11">
        <v>660</v>
      </c>
      <c r="BI12">
        <v>55</v>
      </c>
      <c r="BJ12">
        <v>55</v>
      </c>
      <c r="BK12">
        <v>55</v>
      </c>
      <c r="BL12">
        <v>55</v>
      </c>
      <c r="BM12">
        <v>55</v>
      </c>
      <c r="BN12">
        <v>55</v>
      </c>
      <c r="BO12">
        <v>55</v>
      </c>
      <c r="BP12">
        <v>55</v>
      </c>
      <c r="BQ12">
        <v>55</v>
      </c>
      <c r="BR12">
        <v>55</v>
      </c>
      <c r="BS12">
        <v>55</v>
      </c>
      <c r="BT12">
        <v>55</v>
      </c>
      <c r="BV12" s="11">
        <v>0</v>
      </c>
      <c r="CJ12" s="11">
        <v>0</v>
      </c>
    </row>
    <row r="13" spans="3:100" ht="5.25" customHeight="1" x14ac:dyDescent="0.2">
      <c r="C13" s="19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/>
      <c r="S13" s="2"/>
      <c r="AF13" s="11"/>
      <c r="AG13" s="2"/>
      <c r="AT13" s="11"/>
      <c r="BH13" s="11"/>
      <c r="BV13" s="11"/>
      <c r="CJ13" s="11"/>
    </row>
    <row r="14" spans="3:100" ht="15" customHeight="1" collapsed="1" x14ac:dyDescent="0.2">
      <c r="C14" s="10" t="s">
        <v>23</v>
      </c>
      <c r="D14" s="11">
        <v>-147316.14034426416</v>
      </c>
      <c r="E14" s="12">
        <v>-10737.714633877167</v>
      </c>
      <c r="F14" s="12">
        <v>-12553.593808319811</v>
      </c>
      <c r="G14" s="12">
        <v>-11940.033395541132</v>
      </c>
      <c r="H14" s="12">
        <v>-13935.412569983775</v>
      </c>
      <c r="I14" s="12">
        <v>-13523.412569983775</v>
      </c>
      <c r="J14" s="12">
        <v>-14685.791744426417</v>
      </c>
      <c r="K14" s="12">
        <v>-5040.5166977705667</v>
      </c>
      <c r="L14" s="12">
        <v>-13922.852157205096</v>
      </c>
      <c r="M14" s="12">
        <v>-13014.575057205097</v>
      </c>
      <c r="N14" s="12">
        <v>-14912.731331647738</v>
      </c>
      <c r="O14" s="12">
        <v>-14993.231331647736</v>
      </c>
      <c r="P14" s="12">
        <v>-8056.27504665585</v>
      </c>
      <c r="Q14" s="12"/>
      <c r="R14" s="11">
        <v>10620</v>
      </c>
      <c r="S14" s="21">
        <v>590</v>
      </c>
      <c r="T14" s="21">
        <v>1180</v>
      </c>
      <c r="U14" s="21">
        <v>590</v>
      </c>
      <c r="V14" s="21">
        <v>1180</v>
      </c>
      <c r="W14" s="21">
        <v>590</v>
      </c>
      <c r="X14" s="21">
        <v>1180</v>
      </c>
      <c r="Y14" s="21">
        <v>590</v>
      </c>
      <c r="Z14" s="21">
        <v>590</v>
      </c>
      <c r="AA14" s="21">
        <v>1180</v>
      </c>
      <c r="AB14" s="21">
        <v>1180</v>
      </c>
      <c r="AC14" s="21">
        <v>1180</v>
      </c>
      <c r="AD14" s="21">
        <v>590</v>
      </c>
      <c r="AF14" s="11">
        <v>-96178.020284872167</v>
      </c>
      <c r="AG14" s="21">
        <v>-7455.660830016689</v>
      </c>
      <c r="AH14" s="21">
        <v>-8707.6548038654109</v>
      </c>
      <c r="AI14" s="21">
        <v>-7647.6517907897733</v>
      </c>
      <c r="AJ14" s="21">
        <v>-9440.1457646384952</v>
      </c>
      <c r="AK14" s="21">
        <v>-8798.1457646384952</v>
      </c>
      <c r="AL14" s="21">
        <v>-9757.639738487218</v>
      </c>
      <c r="AM14" s="21">
        <v>-3201.6758953948865</v>
      </c>
      <c r="AN14" s="21">
        <v>-8620.1427515628566</v>
      </c>
      <c r="AO14" s="21">
        <v>-8302.8656515628572</v>
      </c>
      <c r="AP14" s="21">
        <v>-9768.1367254115794</v>
      </c>
      <c r="AQ14" s="21">
        <v>-9848.6367254115776</v>
      </c>
      <c r="AR14" s="21">
        <v>-4629.6638430923304</v>
      </c>
      <c r="AT14" s="11">
        <v>-6881.8043040000002</v>
      </c>
      <c r="AU14">
        <v>-447.31727976000002</v>
      </c>
      <c r="AV14">
        <v>-516.13532279999993</v>
      </c>
      <c r="AW14">
        <v>-550.54434431999994</v>
      </c>
      <c r="AX14">
        <v>-619.36238735999996</v>
      </c>
      <c r="AY14">
        <v>-619.36238735999996</v>
      </c>
      <c r="AZ14">
        <v>-688.18043039999998</v>
      </c>
      <c r="BA14">
        <v>-275.27217215999997</v>
      </c>
      <c r="BB14">
        <v>-653.77140887999997</v>
      </c>
      <c r="BC14">
        <v>-653.77140887999997</v>
      </c>
      <c r="BD14">
        <v>-722.58945191999999</v>
      </c>
      <c r="BE14">
        <v>-722.58945191999999</v>
      </c>
      <c r="BF14">
        <v>-412.90825824000001</v>
      </c>
      <c r="BH14" s="11">
        <v>-50840.715755391997</v>
      </c>
      <c r="BI14">
        <v>-3088.4365241004798</v>
      </c>
      <c r="BJ14">
        <v>-4173.5036816543998</v>
      </c>
      <c r="BK14">
        <v>-3995.5372604313598</v>
      </c>
      <c r="BL14">
        <v>-4719.6044179852797</v>
      </c>
      <c r="BM14">
        <v>-4359.6044179852797</v>
      </c>
      <c r="BN14">
        <v>-5083.6715755391997</v>
      </c>
      <c r="BO14">
        <v>-1817.2686302156799</v>
      </c>
      <c r="BP14">
        <v>-4902.6379967622397</v>
      </c>
      <c r="BQ14">
        <v>-4901.6379967622397</v>
      </c>
      <c r="BR14">
        <v>-5265.7051543161597</v>
      </c>
      <c r="BS14">
        <v>-5265.7051543161597</v>
      </c>
      <c r="BT14">
        <v>-3267.4029453235198</v>
      </c>
      <c r="BV14" s="11">
        <v>-4035.6000000000008</v>
      </c>
      <c r="BW14">
        <v>-336.3</v>
      </c>
      <c r="BX14">
        <v>-336.3</v>
      </c>
      <c r="BY14">
        <v>-336.3</v>
      </c>
      <c r="BZ14">
        <v>-336.3</v>
      </c>
      <c r="CA14">
        <v>-336.3</v>
      </c>
      <c r="CB14">
        <v>-336.3</v>
      </c>
      <c r="CC14">
        <v>-336.3</v>
      </c>
      <c r="CD14">
        <v>-336.3</v>
      </c>
      <c r="CE14">
        <v>-336.3</v>
      </c>
      <c r="CF14">
        <v>-336.3</v>
      </c>
      <c r="CG14">
        <v>-336.3</v>
      </c>
      <c r="CH14">
        <v>-336.3</v>
      </c>
      <c r="CJ14" s="11">
        <v>0</v>
      </c>
    </row>
    <row r="15" spans="3:100" ht="15" hidden="1" customHeight="1" outlineLevel="1" x14ac:dyDescent="0.2">
      <c r="C15" s="14" t="s">
        <v>23</v>
      </c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/>
      <c r="AF15" s="11"/>
      <c r="AG15">
        <v>-7121.9608300166892</v>
      </c>
      <c r="AH15">
        <v>-8143.954803865412</v>
      </c>
      <c r="AI15">
        <v>-7313.9517907897734</v>
      </c>
      <c r="AJ15">
        <v>-8876.4457646384944</v>
      </c>
      <c r="AK15">
        <v>-8464.4457646384944</v>
      </c>
      <c r="AL15">
        <v>-9193.9397384872173</v>
      </c>
      <c r="AM15">
        <v>-2867.9758953948867</v>
      </c>
      <c r="AN15">
        <v>-8286.4427515628558</v>
      </c>
      <c r="AO15">
        <v>-7739.1656515628565</v>
      </c>
      <c r="AP15">
        <v>-9204.4367254115787</v>
      </c>
      <c r="AQ15">
        <v>-9284.9367254115768</v>
      </c>
      <c r="AR15">
        <v>-4295.9638430923305</v>
      </c>
      <c r="AT15" s="11">
        <v>-6881.8043040000002</v>
      </c>
      <c r="AU15">
        <v>-447.31727976000002</v>
      </c>
      <c r="AV15">
        <v>-516.13532279999993</v>
      </c>
      <c r="AW15">
        <v>-550.54434431999994</v>
      </c>
      <c r="AX15">
        <v>-619.36238735999996</v>
      </c>
      <c r="AY15">
        <v>-619.36238735999996</v>
      </c>
      <c r="AZ15">
        <v>-688.18043039999998</v>
      </c>
      <c r="BA15">
        <v>-275.27217215999997</v>
      </c>
      <c r="BB15">
        <v>-653.77140887999997</v>
      </c>
      <c r="BC15">
        <v>-653.77140887999997</v>
      </c>
      <c r="BD15">
        <v>-722.58945191999999</v>
      </c>
      <c r="BE15">
        <v>-722.58945191999999</v>
      </c>
      <c r="BF15">
        <v>-412.90825824000001</v>
      </c>
      <c r="BH15" s="11"/>
      <c r="BI15">
        <v>-2728.4365241004798</v>
      </c>
      <c r="BJ15">
        <v>-3453.5036816543998</v>
      </c>
      <c r="BK15">
        <v>-3635.5372604313598</v>
      </c>
      <c r="BL15">
        <v>-3999.6044179852797</v>
      </c>
      <c r="BM15">
        <v>-3999.6044179852797</v>
      </c>
      <c r="BN15">
        <v>-4363.6715755391997</v>
      </c>
      <c r="BO15">
        <v>-1457.2686302156799</v>
      </c>
      <c r="BP15">
        <v>-4542.6379967622397</v>
      </c>
      <c r="BQ15">
        <v>-4181.6379967622397</v>
      </c>
      <c r="BR15">
        <v>-4545.7051543161597</v>
      </c>
      <c r="BS15">
        <v>-4545.7051543161597</v>
      </c>
      <c r="BT15">
        <v>-2907.4029453235198</v>
      </c>
      <c r="BV15" s="11"/>
      <c r="BW15">
        <v>-80</v>
      </c>
      <c r="BX15">
        <v>-80</v>
      </c>
      <c r="BY15">
        <v>-80</v>
      </c>
      <c r="BZ15">
        <v>-80</v>
      </c>
      <c r="CA15">
        <v>-80</v>
      </c>
      <c r="CB15">
        <v>-80</v>
      </c>
      <c r="CC15">
        <v>-80</v>
      </c>
      <c r="CD15">
        <v>-80</v>
      </c>
      <c r="CE15">
        <v>-80</v>
      </c>
      <c r="CF15">
        <v>-80</v>
      </c>
      <c r="CG15">
        <v>-80</v>
      </c>
      <c r="CH15">
        <v>-80</v>
      </c>
      <c r="CJ15" s="11"/>
    </row>
    <row r="16" spans="3:100" ht="15" hidden="1" customHeight="1" outlineLevel="1" x14ac:dyDescent="0.2">
      <c r="C16" s="14" t="s">
        <v>24</v>
      </c>
      <c r="D16" s="11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/>
      <c r="R16" s="11"/>
      <c r="AF16" s="11"/>
      <c r="AG16">
        <v>256.3</v>
      </c>
      <c r="AH16">
        <v>256.3</v>
      </c>
      <c r="AI16">
        <v>256.3</v>
      </c>
      <c r="AJ16">
        <v>256.3</v>
      </c>
      <c r="AK16">
        <v>256.3</v>
      </c>
      <c r="AL16">
        <v>256.3</v>
      </c>
      <c r="AM16">
        <v>256.3</v>
      </c>
      <c r="AN16">
        <v>256.3</v>
      </c>
      <c r="AO16">
        <v>256.3</v>
      </c>
      <c r="AP16">
        <v>256.3</v>
      </c>
      <c r="AQ16">
        <v>256.3</v>
      </c>
      <c r="AR16">
        <v>256.3</v>
      </c>
      <c r="AT16" s="11">
        <v>0</v>
      </c>
      <c r="BH16" s="11"/>
      <c r="BV16" s="11"/>
      <c r="BW16">
        <v>-256.3</v>
      </c>
      <c r="BX16">
        <v>-256.3</v>
      </c>
      <c r="BY16">
        <v>-256.3</v>
      </c>
      <c r="BZ16">
        <v>-256.3</v>
      </c>
      <c r="CA16">
        <v>-256.3</v>
      </c>
      <c r="CB16">
        <v>-256.3</v>
      </c>
      <c r="CC16">
        <v>-256.3</v>
      </c>
      <c r="CD16">
        <v>-256.3</v>
      </c>
      <c r="CE16">
        <v>-256.3</v>
      </c>
      <c r="CF16">
        <v>-256.3</v>
      </c>
      <c r="CG16">
        <v>-256.3</v>
      </c>
      <c r="CH16">
        <v>-256.3</v>
      </c>
      <c r="CJ16" s="11">
        <v>0</v>
      </c>
    </row>
    <row r="17" spans="3:100" ht="15" hidden="1" customHeight="1" outlineLevel="1" x14ac:dyDescent="0.2">
      <c r="C17" s="14" t="s">
        <v>25</v>
      </c>
      <c r="D17" s="11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/>
      <c r="R17" s="11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F17" s="11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T17" s="11">
        <v>0</v>
      </c>
      <c r="BH17" s="11"/>
      <c r="BV17" s="11"/>
      <c r="CJ17" s="11">
        <v>0</v>
      </c>
    </row>
    <row r="18" spans="3:100" ht="15" hidden="1" customHeight="1" outlineLevel="1" x14ac:dyDescent="0.2">
      <c r="C18" s="14" t="s">
        <v>26</v>
      </c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1"/>
      <c r="S18" s="18">
        <v>590</v>
      </c>
      <c r="T18" s="18">
        <v>1180</v>
      </c>
      <c r="U18" s="18">
        <v>590</v>
      </c>
      <c r="V18" s="18">
        <v>1180</v>
      </c>
      <c r="W18" s="18">
        <v>590</v>
      </c>
      <c r="X18" s="18">
        <v>1180</v>
      </c>
      <c r="Y18" s="18">
        <v>590</v>
      </c>
      <c r="Z18" s="18">
        <v>590</v>
      </c>
      <c r="AA18" s="18">
        <v>1180</v>
      </c>
      <c r="AB18" s="18">
        <v>1180</v>
      </c>
      <c r="AC18" s="18">
        <v>1180</v>
      </c>
      <c r="AD18" s="18">
        <v>590</v>
      </c>
      <c r="AF18" s="11"/>
      <c r="AG18" s="18">
        <v>-590</v>
      </c>
      <c r="AH18" s="18">
        <v>-820</v>
      </c>
      <c r="AI18" s="18">
        <v>-590</v>
      </c>
      <c r="AJ18" s="18">
        <v>-820</v>
      </c>
      <c r="AK18" s="18">
        <v>-590</v>
      </c>
      <c r="AL18" s="18">
        <v>-820</v>
      </c>
      <c r="AM18" s="18">
        <v>-590</v>
      </c>
      <c r="AN18" s="18">
        <v>-590</v>
      </c>
      <c r="AO18" s="18">
        <v>-820</v>
      </c>
      <c r="AP18" s="18">
        <v>-820</v>
      </c>
      <c r="AQ18" s="18">
        <v>-820</v>
      </c>
      <c r="AR18" s="18">
        <v>-590</v>
      </c>
      <c r="AT18" s="11">
        <v>0</v>
      </c>
      <c r="BH18" s="11"/>
      <c r="BI18" s="18">
        <v>-360</v>
      </c>
      <c r="BJ18" s="18">
        <v>-720</v>
      </c>
      <c r="BK18" s="18">
        <v>-360</v>
      </c>
      <c r="BL18" s="18">
        <v>-720</v>
      </c>
      <c r="BM18" s="18">
        <v>-360</v>
      </c>
      <c r="BN18" s="18">
        <v>-720</v>
      </c>
      <c r="BO18" s="18">
        <v>-360</v>
      </c>
      <c r="BP18" s="18">
        <v>-360</v>
      </c>
      <c r="BQ18" s="18">
        <v>-720</v>
      </c>
      <c r="BR18" s="18">
        <v>-720</v>
      </c>
      <c r="BS18" s="18">
        <v>-720</v>
      </c>
      <c r="BT18" s="18">
        <v>-360</v>
      </c>
      <c r="BV18" s="11"/>
      <c r="CJ18" s="11"/>
    </row>
    <row r="19" spans="3:100" ht="15" customHeight="1" x14ac:dyDescent="0.2">
      <c r="C19" s="19"/>
      <c r="D19" s="2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2"/>
      <c r="S19" s="2"/>
      <c r="AF19" s="22"/>
      <c r="AG19" s="2"/>
      <c r="AT19" s="22"/>
      <c r="BH19" s="22"/>
      <c r="BV19" s="22"/>
      <c r="CJ19" s="22"/>
    </row>
    <row r="20" spans="3:100" ht="15" customHeight="1" x14ac:dyDescent="0.2">
      <c r="C20" s="10" t="s">
        <v>27</v>
      </c>
      <c r="D20" s="23">
        <v>95738.866412181174</v>
      </c>
      <c r="E20" s="24">
        <v>5496.6876428901451</v>
      </c>
      <c r="F20" s="24">
        <v>7078.5202801108699</v>
      </c>
      <c r="G20" s="24">
        <v>6553.5421291717776</v>
      </c>
      <c r="H20" s="24">
        <v>8824.6765904602762</v>
      </c>
      <c r="I20" s="24">
        <v>8482.0537648533136</v>
      </c>
      <c r="J20" s="24">
        <v>9873.4664853656795</v>
      </c>
      <c r="K20" s="24">
        <v>4155.7242424667984</v>
      </c>
      <c r="L20" s="24">
        <v>9119.0939002220912</v>
      </c>
      <c r="M20" s="24">
        <v>9329.9563860852577</v>
      </c>
      <c r="N20" s="24">
        <v>10305.676921623104</v>
      </c>
      <c r="O20" s="24">
        <v>10328.472030421612</v>
      </c>
      <c r="P20" s="24">
        <v>6190.9960385102549</v>
      </c>
      <c r="Q20" s="24"/>
      <c r="R20" s="23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F20" s="23">
        <v>65378.05766309319</v>
      </c>
      <c r="AG20" s="24">
        <v>3711.3542114543243</v>
      </c>
      <c r="AH20" s="24">
        <v>4551.4709964782924</v>
      </c>
      <c r="AI20" s="24">
        <v>4154.8408017937572</v>
      </c>
      <c r="AJ20" s="24">
        <v>5992.6711755913766</v>
      </c>
      <c r="AK20" s="24">
        <v>5880.048349984414</v>
      </c>
      <c r="AL20" s="24">
        <v>6838.1569830058979</v>
      </c>
      <c r="AM20" s="24">
        <v>3187.0627944640628</v>
      </c>
      <c r="AN20" s="24">
        <v>6107.0246769018704</v>
      </c>
      <c r="AO20" s="24">
        <v>6396.2989274709198</v>
      </c>
      <c r="AP20" s="24">
        <v>7168.7153755178842</v>
      </c>
      <c r="AQ20" s="24">
        <v>7191.5104843163917</v>
      </c>
      <c r="AR20" s="24">
        <v>4198.9028861139941</v>
      </c>
      <c r="AT20" s="23">
        <v>3186.4664559999974</v>
      </c>
      <c r="AU20" s="24">
        <v>207.12031963999993</v>
      </c>
      <c r="AV20" s="24">
        <v>238.98498419999999</v>
      </c>
      <c r="AW20" s="24">
        <v>254.91731647999995</v>
      </c>
      <c r="AX20" s="24">
        <v>286.78198103999989</v>
      </c>
      <c r="AY20" s="24">
        <v>286.78198103999989</v>
      </c>
      <c r="AZ20" s="24">
        <v>318.64664559999994</v>
      </c>
      <c r="BA20" s="24">
        <v>127.45865823999998</v>
      </c>
      <c r="BB20" s="24">
        <v>302.71431331999997</v>
      </c>
      <c r="BC20" s="24">
        <v>302.71431331999997</v>
      </c>
      <c r="BD20" s="24">
        <v>334.57897788000002</v>
      </c>
      <c r="BE20" s="24">
        <v>334.57897788000002</v>
      </c>
      <c r="BF20" s="24">
        <v>191.18798735999997</v>
      </c>
      <c r="BH20" s="23">
        <v>29009.942293087995</v>
      </c>
      <c r="BI20" s="24">
        <v>1731.179778462485</v>
      </c>
      <c r="BJ20" s="24">
        <v>2441.0309660992471</v>
      </c>
      <c r="BK20" s="24">
        <v>2296.7506775646871</v>
      </c>
      <c r="BL20" s="24">
        <v>2698.1901004955671</v>
      </c>
      <c r="BM20" s="24">
        <v>2468.1901004955671</v>
      </c>
      <c r="BN20" s="24">
        <v>2869.6295234264471</v>
      </c>
      <c r="BO20" s="24">
        <v>994.16945642940254</v>
      </c>
      <c r="BP20" s="24">
        <v>2862.3215766668891</v>
      </c>
      <c r="BQ20" s="24">
        <v>2783.9098119610071</v>
      </c>
      <c r="BR20" s="24">
        <v>2955.3492348918862</v>
      </c>
      <c r="BS20" s="24">
        <v>2955.3492348918862</v>
      </c>
      <c r="BT20" s="24">
        <v>1953.8718317029261</v>
      </c>
      <c r="BV20" s="23">
        <v>-1835.6000000000013</v>
      </c>
      <c r="BW20" s="24">
        <v>-152.96666666666667</v>
      </c>
      <c r="BX20" s="24">
        <v>-152.96666666666667</v>
      </c>
      <c r="BY20" s="24">
        <v>-152.96666666666667</v>
      </c>
      <c r="BZ20" s="24">
        <v>-152.96666666666667</v>
      </c>
      <c r="CA20" s="24">
        <v>-152.96666666666667</v>
      </c>
      <c r="CB20" s="24">
        <v>-152.96666666666667</v>
      </c>
      <c r="CC20" s="24">
        <v>-152.96666666666667</v>
      </c>
      <c r="CD20" s="24">
        <v>-152.96666666666667</v>
      </c>
      <c r="CE20" s="24">
        <v>-152.96666666666667</v>
      </c>
      <c r="CF20" s="24">
        <v>-152.96666666666667</v>
      </c>
      <c r="CG20" s="24">
        <v>-152.96666666666667</v>
      </c>
      <c r="CH20" s="24">
        <v>-152.96666666666667</v>
      </c>
      <c r="CJ20" s="23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</row>
    <row r="21" spans="3:100" ht="14.25" customHeight="1" x14ac:dyDescent="0.2">
      <c r="C21" s="14" t="s">
        <v>28</v>
      </c>
      <c r="D21" s="25">
        <v>0.39389793977013959</v>
      </c>
      <c r="E21" s="26">
        <v>0.33858269304785743</v>
      </c>
      <c r="F21" s="26">
        <v>0.36055822863632825</v>
      </c>
      <c r="G21" s="26">
        <v>0.35436858169553526</v>
      </c>
      <c r="H21" s="26">
        <v>0.38772592357841651</v>
      </c>
      <c r="I21" s="26">
        <v>0.38545212520333111</v>
      </c>
      <c r="J21" s="26">
        <v>0.40202624985588836</v>
      </c>
      <c r="K21" s="26">
        <v>0.45189379763679122</v>
      </c>
      <c r="L21" s="26">
        <v>0.39576057844657192</v>
      </c>
      <c r="M21" s="26">
        <v>0.41754987835678559</v>
      </c>
      <c r="N21" s="26">
        <v>0.40865691514397828</v>
      </c>
      <c r="O21" s="26">
        <v>0.40789009659962883</v>
      </c>
      <c r="P21" s="26">
        <v>0.43453907779968909</v>
      </c>
      <c r="Q21" s="26"/>
      <c r="R21" s="25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F21" s="25">
        <v>0.40467717769275396</v>
      </c>
      <c r="AG21" s="26">
        <v>0.332349710076636</v>
      </c>
      <c r="AH21" s="26">
        <v>0.34327082079274857</v>
      </c>
      <c r="AI21" s="26">
        <v>0.35203079088603562</v>
      </c>
      <c r="AJ21" s="26">
        <v>0.3883070212522145</v>
      </c>
      <c r="AK21" s="26">
        <v>0.40059753291629469</v>
      </c>
      <c r="AL21" s="26">
        <v>0.41204150049330518</v>
      </c>
      <c r="AM21" s="26">
        <v>0.4988563391273132</v>
      </c>
      <c r="AN21" s="26">
        <v>0.41467748000869392</v>
      </c>
      <c r="AO21" s="26">
        <v>0.43514710601950202</v>
      </c>
      <c r="AP21" s="26">
        <v>0.42326137896217908</v>
      </c>
      <c r="AQ21" s="26">
        <v>0.42203335427823441</v>
      </c>
      <c r="AR21" s="26">
        <v>0.47560413993625322</v>
      </c>
      <c r="AT21" s="25">
        <v>0.31648597181746813</v>
      </c>
      <c r="AU21" s="26">
        <v>0.31648597181746818</v>
      </c>
      <c r="AV21" s="26">
        <v>0.31648597181746829</v>
      </c>
      <c r="AW21" s="26">
        <v>0.31648597181746829</v>
      </c>
      <c r="AX21" s="26">
        <v>0.31648597181746824</v>
      </c>
      <c r="AY21" s="26">
        <v>0.31648597181746824</v>
      </c>
      <c r="AZ21" s="26">
        <v>0.31648597181746824</v>
      </c>
      <c r="BA21" s="26">
        <v>0.31648597181746829</v>
      </c>
      <c r="BB21" s="26">
        <v>0.31648597181746829</v>
      </c>
      <c r="BC21" s="26">
        <v>0.31648597181746829</v>
      </c>
      <c r="BD21" s="26">
        <v>0.31648597181746829</v>
      </c>
      <c r="BE21" s="26">
        <v>0.31648597181746829</v>
      </c>
      <c r="BF21" s="26">
        <v>0.31648597181746824</v>
      </c>
      <c r="BH21" s="25">
        <v>0.36330248243508645</v>
      </c>
      <c r="BI21" s="26">
        <v>0.35919452292122966</v>
      </c>
      <c r="BJ21" s="26">
        <v>0.36904046861833922</v>
      </c>
      <c r="BK21" s="26">
        <v>0.36501042231327874</v>
      </c>
      <c r="BL21" s="26">
        <v>0.36374559766696696</v>
      </c>
      <c r="BM21" s="26">
        <v>0.36149156126695037</v>
      </c>
      <c r="BN21" s="26">
        <v>0.36080986847079788</v>
      </c>
      <c r="BO21" s="26">
        <v>0.35361598790025467</v>
      </c>
      <c r="BP21" s="26">
        <v>0.36862028058220048</v>
      </c>
      <c r="BQ21" s="26">
        <v>0.36222659480449981</v>
      </c>
      <c r="BR21" s="26">
        <v>0.35948542546701023</v>
      </c>
      <c r="BS21" s="26">
        <v>0.35948542546701023</v>
      </c>
      <c r="BT21" s="26">
        <v>0.37421356184890742</v>
      </c>
      <c r="BV21" s="25">
        <v>-0.83436363636363708</v>
      </c>
      <c r="BW21" s="26">
        <v>-0.83436363636363631</v>
      </c>
      <c r="BX21" s="26">
        <v>-0.83436363636363631</v>
      </c>
      <c r="BY21" s="26">
        <v>-0.83436363636363631</v>
      </c>
      <c r="BZ21" s="26">
        <v>-0.83436363636363631</v>
      </c>
      <c r="CA21" s="26">
        <v>-0.83436363636363631</v>
      </c>
      <c r="CB21" s="26">
        <v>-0.83436363636363631</v>
      </c>
      <c r="CC21" s="26">
        <v>-0.83436363636363631</v>
      </c>
      <c r="CD21" s="26">
        <v>-0.83436363636363631</v>
      </c>
      <c r="CE21" s="26">
        <v>-0.83436363636363631</v>
      </c>
      <c r="CF21" s="26">
        <v>-0.83436363636363631</v>
      </c>
      <c r="CG21" s="26">
        <v>-0.83436363636363631</v>
      </c>
      <c r="CH21" s="26">
        <v>-0.83436363636363631</v>
      </c>
      <c r="CJ21" s="25" t="e">
        <v>#DIV/0!</v>
      </c>
      <c r="CK21" s="26" t="e">
        <v>#DIV/0!</v>
      </c>
      <c r="CL21" s="26" t="e">
        <v>#DIV/0!</v>
      </c>
      <c r="CM21" s="26" t="e">
        <v>#DIV/0!</v>
      </c>
      <c r="CN21" s="26" t="e">
        <v>#DIV/0!</v>
      </c>
      <c r="CO21" s="26" t="e">
        <v>#DIV/0!</v>
      </c>
      <c r="CP21" s="26" t="e">
        <v>#DIV/0!</v>
      </c>
      <c r="CQ21" s="26" t="e">
        <v>#DIV/0!</v>
      </c>
      <c r="CR21" s="26" t="e">
        <v>#DIV/0!</v>
      </c>
      <c r="CS21" s="26" t="e">
        <v>#DIV/0!</v>
      </c>
      <c r="CT21" s="26" t="e">
        <v>#DIV/0!</v>
      </c>
      <c r="CU21" s="26" t="e">
        <v>#DIV/0!</v>
      </c>
      <c r="CV21" s="26" t="e">
        <v>#DIV/0!</v>
      </c>
    </row>
    <row r="22" spans="3:100" ht="6.75" customHeight="1" x14ac:dyDescent="0.2">
      <c r="C22" s="14"/>
      <c r="D22" s="2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5"/>
      <c r="S22" s="2"/>
      <c r="AF22" s="25"/>
      <c r="AG22" s="2"/>
      <c r="AT22" s="25"/>
      <c r="BH22" s="25"/>
      <c r="BV22" s="25"/>
      <c r="CJ22" s="25"/>
    </row>
    <row r="23" spans="3:100" x14ac:dyDescent="0.2">
      <c r="C23" s="19" t="s">
        <v>29</v>
      </c>
      <c r="D23" s="11">
        <v>-22768.053033809527</v>
      </c>
      <c r="E23" s="12">
        <v>-1713.5982000000001</v>
      </c>
      <c r="F23" s="12">
        <v>-1930.197276666667</v>
      </c>
      <c r="G23" s="12">
        <v>-1737.66563</v>
      </c>
      <c r="H23" s="12">
        <v>-1693.0574166666668</v>
      </c>
      <c r="I23" s="12">
        <v>-2226.2103900000002</v>
      </c>
      <c r="J23" s="12">
        <v>-2057.5283199999999</v>
      </c>
      <c r="K23" s="12">
        <v>-1829.3486266666666</v>
      </c>
      <c r="L23" s="12">
        <v>-1912.7558728571428</v>
      </c>
      <c r="M23" s="12">
        <v>-1847.6128104761904</v>
      </c>
      <c r="N23" s="12">
        <v>-2073.4895014285712</v>
      </c>
      <c r="O23" s="12">
        <v>-1877.063139047619</v>
      </c>
      <c r="P23" s="12">
        <v>-1869.52585</v>
      </c>
      <c r="Q23" s="12"/>
      <c r="R23" s="11">
        <v>0</v>
      </c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8"/>
      <c r="AF23" s="11">
        <v>-13741.542583333332</v>
      </c>
      <c r="AG23" s="27">
        <v>-1031.2153333333333</v>
      </c>
      <c r="AH23" s="27">
        <v>-1231.5978333333335</v>
      </c>
      <c r="AI23" s="27">
        <v>-1032.1033333333332</v>
      </c>
      <c r="AJ23" s="27">
        <v>-1038.0435833333333</v>
      </c>
      <c r="AK23" s="27">
        <v>-1531.9528333333335</v>
      </c>
      <c r="AL23" s="27">
        <v>-1031.9763333333333</v>
      </c>
      <c r="AM23" s="27">
        <v>-1038.9913333333334</v>
      </c>
      <c r="AN23" s="27">
        <v>-1119.49</v>
      </c>
      <c r="AO23" s="27">
        <v>-1119.55</v>
      </c>
      <c r="AP23" s="27">
        <v>-1326.5539999999999</v>
      </c>
      <c r="AQ23" s="27">
        <v>-1120.0340000000001</v>
      </c>
      <c r="AR23" s="27">
        <v>-1120.0340000000001</v>
      </c>
      <c r="AT23" s="11">
        <v>-1252.02</v>
      </c>
      <c r="AU23" s="28">
        <v>-99.384999999999991</v>
      </c>
      <c r="AV23" s="28">
        <v>-99.384999999999991</v>
      </c>
      <c r="AW23" s="28">
        <v>-99.384999999999991</v>
      </c>
      <c r="AX23" s="28">
        <v>-99.384999999999991</v>
      </c>
      <c r="AY23" s="28">
        <v>-99.384999999999991</v>
      </c>
      <c r="AZ23" s="28">
        <v>-158.785</v>
      </c>
      <c r="BA23" s="28">
        <v>-99.384999999999991</v>
      </c>
      <c r="BB23" s="28">
        <v>-99.384999999999991</v>
      </c>
      <c r="BC23" s="28">
        <v>-99.384999999999991</v>
      </c>
      <c r="BD23" s="28">
        <v>-99.384999999999991</v>
      </c>
      <c r="BE23" s="28">
        <v>-99.384999999999991</v>
      </c>
      <c r="BF23" s="28">
        <v>-99.384999999999991</v>
      </c>
      <c r="BH23" s="11">
        <v>-6041.583333333333</v>
      </c>
      <c r="BI23" s="28">
        <v>-464.66666666666674</v>
      </c>
      <c r="BJ23" s="28">
        <v>-456.33333333333343</v>
      </c>
      <c r="BK23" s="28">
        <v>-464.66666666666674</v>
      </c>
      <c r="BL23" s="28">
        <v>-456.33333333333343</v>
      </c>
      <c r="BM23" s="28">
        <v>-464.66666666666674</v>
      </c>
      <c r="BN23" s="28">
        <v>-685.91666666666663</v>
      </c>
      <c r="BO23" s="28">
        <v>-512.33333333333326</v>
      </c>
      <c r="BP23" s="28">
        <v>-504</v>
      </c>
      <c r="BQ23" s="28">
        <v>-512.33333333333326</v>
      </c>
      <c r="BR23" s="28">
        <v>-504</v>
      </c>
      <c r="BS23" s="28">
        <v>-512.33333333333326</v>
      </c>
      <c r="BT23" s="28">
        <v>-504</v>
      </c>
      <c r="BV23" s="11">
        <v>-1114.9071171428568</v>
      </c>
      <c r="BW23" s="28">
        <v>-76.831199999999995</v>
      </c>
      <c r="BX23" s="28">
        <v>-101.38111000000001</v>
      </c>
      <c r="BY23" s="28">
        <v>-70.010630000000006</v>
      </c>
      <c r="BZ23" s="28">
        <v>-57.795499999999997</v>
      </c>
      <c r="CA23" s="28">
        <v>-88.705889999999997</v>
      </c>
      <c r="CB23" s="28">
        <v>-109.35032000000001</v>
      </c>
      <c r="CC23" s="28">
        <v>-137.13896</v>
      </c>
      <c r="CD23" s="28">
        <v>-148.38087285714286</v>
      </c>
      <c r="CE23" s="28">
        <v>-44.844477142857095</v>
      </c>
      <c r="CF23" s="28">
        <v>-102.05050142857141</v>
      </c>
      <c r="CG23" s="28">
        <v>-103.81080571428571</v>
      </c>
      <c r="CH23" s="28">
        <v>-74.606849999999994</v>
      </c>
      <c r="CJ23" s="11">
        <v>-618</v>
      </c>
      <c r="CK23" s="28">
        <v>-41.5</v>
      </c>
      <c r="CL23" s="28">
        <v>-41.5</v>
      </c>
      <c r="CM23" s="28">
        <v>-71.5</v>
      </c>
      <c r="CN23" s="28">
        <v>-41.5</v>
      </c>
      <c r="CO23" s="28">
        <v>-41.5</v>
      </c>
      <c r="CP23" s="28">
        <v>-71.5</v>
      </c>
      <c r="CQ23" s="28">
        <v>-41.5</v>
      </c>
      <c r="CR23" s="28">
        <v>-41.5</v>
      </c>
      <c r="CS23" s="28">
        <v>-71.5</v>
      </c>
      <c r="CT23" s="28">
        <v>-41.5</v>
      </c>
      <c r="CU23" s="28">
        <v>-41.5</v>
      </c>
      <c r="CV23" s="28">
        <v>-71.5</v>
      </c>
    </row>
    <row r="24" spans="3:100" x14ac:dyDescent="0.2">
      <c r="C24" s="19" t="s">
        <v>30</v>
      </c>
      <c r="D24" s="11">
        <v>-31163.084446066187</v>
      </c>
      <c r="E24" s="12">
        <v>-2391.6146982855998</v>
      </c>
      <c r="F24" s="12">
        <v>-2518.7223153855998</v>
      </c>
      <c r="G24" s="12">
        <v>-2489.9568207855996</v>
      </c>
      <c r="H24" s="12">
        <v>-2496.2498405027677</v>
      </c>
      <c r="I24" s="12">
        <v>-2814.8582753027677</v>
      </c>
      <c r="J24" s="12">
        <v>-2964.3527205027681</v>
      </c>
      <c r="K24" s="12">
        <v>-694.68225058724806</v>
      </c>
      <c r="L24" s="12">
        <v>-3008.5089399027679</v>
      </c>
      <c r="M24" s="12">
        <v>-2937.0353036027677</v>
      </c>
      <c r="N24" s="12">
        <v>-2824.209899902768</v>
      </c>
      <c r="O24" s="12">
        <v>-3033.0645914027677</v>
      </c>
      <c r="P24" s="12">
        <v>-2989.8287899027678</v>
      </c>
      <c r="Q24" s="12"/>
      <c r="R24" s="11">
        <v>0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8"/>
      <c r="AF24" s="11">
        <v>-18253.512834306992</v>
      </c>
      <c r="AG24" s="27">
        <v>-1345.1974893455999</v>
      </c>
      <c r="AH24" s="27">
        <v>-1345.1974893455999</v>
      </c>
      <c r="AI24" s="27">
        <v>-1345.1974893455999</v>
      </c>
      <c r="AJ24" s="27">
        <v>-1384.533462025968</v>
      </c>
      <c r="AK24" s="27">
        <v>-1594.7248980259678</v>
      </c>
      <c r="AL24" s="27">
        <v>-1815.7012020259681</v>
      </c>
      <c r="AM24" s="27">
        <v>-344.45479406244812</v>
      </c>
      <c r="AN24" s="27">
        <v>-1815.7012020259681</v>
      </c>
      <c r="AO24" s="27">
        <v>-1815.7012020259681</v>
      </c>
      <c r="AP24" s="27">
        <v>-1815.7012020259681</v>
      </c>
      <c r="AQ24" s="27">
        <v>-1815.7012020259681</v>
      </c>
      <c r="AR24" s="27">
        <v>-1815.7012020259681</v>
      </c>
      <c r="AT24" s="11">
        <v>-1495.3</v>
      </c>
      <c r="AU24" s="28">
        <v>-132.73333333333332</v>
      </c>
      <c r="AV24" s="28">
        <v>-132.73333333333332</v>
      </c>
      <c r="AW24" s="28">
        <v>-132.73333333333332</v>
      </c>
      <c r="AX24" s="28">
        <v>-132.73333333333332</v>
      </c>
      <c r="AY24" s="28">
        <v>-132.73333333333332</v>
      </c>
      <c r="AZ24" s="28">
        <v>-132.73333333333332</v>
      </c>
      <c r="BA24" s="28">
        <v>-46.233333333333334</v>
      </c>
      <c r="BB24" s="28">
        <v>-121.73333333333333</v>
      </c>
      <c r="BC24" s="28">
        <v>-132.73333333333332</v>
      </c>
      <c r="BD24" s="28">
        <v>-132.73333333333332</v>
      </c>
      <c r="BE24" s="28">
        <v>-132.73333333333332</v>
      </c>
      <c r="BF24" s="28">
        <v>-132.73333333333332</v>
      </c>
      <c r="BH24" s="11">
        <v>-6949.2867203312007</v>
      </c>
      <c r="BI24" s="28">
        <v>-616.49916103999988</v>
      </c>
      <c r="BJ24" s="28">
        <v>-616.49916103999988</v>
      </c>
      <c r="BK24" s="28">
        <v>-616.49916103999988</v>
      </c>
      <c r="BL24" s="28">
        <v>-628.20448856479993</v>
      </c>
      <c r="BM24" s="28">
        <v>-628.20448856479993</v>
      </c>
      <c r="BN24" s="28">
        <v>-628.20448856479993</v>
      </c>
      <c r="BO24" s="28">
        <v>-74.153328692800002</v>
      </c>
      <c r="BP24" s="28">
        <v>-628.20448856479993</v>
      </c>
      <c r="BQ24" s="28">
        <v>-628.20448856479993</v>
      </c>
      <c r="BR24" s="28">
        <v>-628.20448856479993</v>
      </c>
      <c r="BS24" s="28">
        <v>-628.20448856479993</v>
      </c>
      <c r="BT24" s="28">
        <v>-628.20448856479993</v>
      </c>
      <c r="BV24" s="11">
        <v>-2562.2056506999998</v>
      </c>
      <c r="BW24" s="28">
        <v>-130.49349749999999</v>
      </c>
      <c r="BX24" s="28">
        <v>-257.60111460000002</v>
      </c>
      <c r="BY24" s="28">
        <v>-228.83562000000001</v>
      </c>
      <c r="BZ24" s="28">
        <v>-179.93021999999996</v>
      </c>
      <c r="CA24" s="28">
        <v>-288.34721880000006</v>
      </c>
      <c r="CB24" s="28">
        <v>-216.86536000000001</v>
      </c>
      <c r="CC24" s="28">
        <v>-193.92189760000002</v>
      </c>
      <c r="CD24" s="28">
        <v>-272.02157939999995</v>
      </c>
      <c r="CE24" s="28">
        <v>-189.54794310000003</v>
      </c>
      <c r="CF24" s="28">
        <v>-76.722539400000002</v>
      </c>
      <c r="CG24" s="28">
        <v>-285.57723089999996</v>
      </c>
      <c r="CH24" s="28">
        <v>-242.34142939999998</v>
      </c>
      <c r="CJ24" s="11">
        <v>-1902.7792407280001</v>
      </c>
      <c r="CK24" s="28">
        <v>-166.69121706666667</v>
      </c>
      <c r="CL24" s="28">
        <v>-166.69121706666667</v>
      </c>
      <c r="CM24" s="28">
        <v>-166.69121706666667</v>
      </c>
      <c r="CN24" s="28">
        <v>-170.84833657866665</v>
      </c>
      <c r="CO24" s="28">
        <v>-170.84833657866665</v>
      </c>
      <c r="CP24" s="28">
        <v>-170.84833657866665</v>
      </c>
      <c r="CQ24" s="28">
        <v>-35.918896898666674</v>
      </c>
      <c r="CR24" s="28">
        <v>-170.84833657866665</v>
      </c>
      <c r="CS24" s="28">
        <v>-170.84833657866665</v>
      </c>
      <c r="CT24" s="28">
        <v>-170.84833657866665</v>
      </c>
      <c r="CU24" s="28">
        <v>-170.84833657866665</v>
      </c>
      <c r="CV24" s="28">
        <v>-170.84833657866665</v>
      </c>
    </row>
    <row r="25" spans="3:100" ht="7.5" customHeight="1" x14ac:dyDescent="0.2">
      <c r="C25" s="19"/>
      <c r="D25" s="2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"/>
      <c r="S25" s="2"/>
      <c r="AF25" s="22"/>
      <c r="AG25" s="2"/>
      <c r="AT25" s="22"/>
      <c r="BH25" s="22"/>
      <c r="BV25" s="22"/>
      <c r="CJ25" s="22"/>
    </row>
    <row r="26" spans="3:100" x14ac:dyDescent="0.2">
      <c r="C26" s="29" t="s">
        <v>31</v>
      </c>
      <c r="D26" s="30">
        <v>43667.728932305457</v>
      </c>
      <c r="E26" s="31">
        <v>1546.4747446045449</v>
      </c>
      <c r="F26" s="31">
        <v>2784.6006880586033</v>
      </c>
      <c r="G26" s="31">
        <v>2480.9196783861785</v>
      </c>
      <c r="H26" s="31">
        <v>4790.3693332908424</v>
      </c>
      <c r="I26" s="31">
        <v>3595.9850995505458</v>
      </c>
      <c r="J26" s="31">
        <v>5006.5854448629125</v>
      </c>
      <c r="K26" s="31">
        <v>1786.6933652128835</v>
      </c>
      <c r="L26" s="31">
        <v>4352.8290874621798</v>
      </c>
      <c r="M26" s="31">
        <v>4700.3082720062994</v>
      </c>
      <c r="N26" s="31">
        <v>5562.9775202917644</v>
      </c>
      <c r="O26" s="31">
        <v>5573.3442999712242</v>
      </c>
      <c r="P26" s="31">
        <v>1486.6413986074872</v>
      </c>
      <c r="Q26" s="24"/>
      <c r="R26" s="30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F26" s="30">
        <v>34583.002245452866</v>
      </c>
      <c r="AG26" s="31">
        <v>1434.9413887753908</v>
      </c>
      <c r="AH26" s="31">
        <v>2074.6756737993592</v>
      </c>
      <c r="AI26" s="31">
        <v>1877.5399791148238</v>
      </c>
      <c r="AJ26" s="31">
        <v>3670.0941302320753</v>
      </c>
      <c r="AK26" s="31">
        <v>2853.3706186251125</v>
      </c>
      <c r="AL26" s="31">
        <v>4090.4794476465968</v>
      </c>
      <c r="AM26" s="31">
        <v>1903.6166670682812</v>
      </c>
      <c r="AN26" s="31">
        <v>3271.8334748759025</v>
      </c>
      <c r="AO26" s="31">
        <v>3561.0477254449515</v>
      </c>
      <c r="AP26" s="31">
        <v>4126.4601734919161</v>
      </c>
      <c r="AQ26" s="31">
        <v>4355.775282290424</v>
      </c>
      <c r="AR26" s="31">
        <v>1363.1676840880259</v>
      </c>
      <c r="AT26" s="30">
        <v>439.14645599999744</v>
      </c>
      <c r="AU26" s="31">
        <v>-24.998013693333377</v>
      </c>
      <c r="AV26" s="31">
        <v>6.8666508666666743</v>
      </c>
      <c r="AW26" s="31">
        <v>22.798983146666643</v>
      </c>
      <c r="AX26" s="31">
        <v>54.66364770666658</v>
      </c>
      <c r="AY26" s="31">
        <v>54.66364770666658</v>
      </c>
      <c r="AZ26" s="31">
        <v>27.128312266666626</v>
      </c>
      <c r="BA26" s="31">
        <v>-18.159675093333348</v>
      </c>
      <c r="BB26" s="31">
        <v>81.595979986666649</v>
      </c>
      <c r="BC26" s="31">
        <v>70.595979986666663</v>
      </c>
      <c r="BD26" s="31">
        <v>102.46064454666671</v>
      </c>
      <c r="BE26" s="31">
        <v>102.46064454666671</v>
      </c>
      <c r="BF26" s="31">
        <v>-40.930345973333345</v>
      </c>
      <c r="BH26" s="30">
        <v>16679.072239423462</v>
      </c>
      <c r="BI26" s="31">
        <v>705.01395075581843</v>
      </c>
      <c r="BJ26" s="31">
        <v>1423.1984717259138</v>
      </c>
      <c r="BK26" s="31">
        <v>1270.5848498580203</v>
      </c>
      <c r="BL26" s="31">
        <v>1668.6522785974337</v>
      </c>
      <c r="BM26" s="31">
        <v>1430.3189452641002</v>
      </c>
      <c r="BN26" s="31">
        <v>1610.5083681949807</v>
      </c>
      <c r="BO26" s="31">
        <v>462.68279440326927</v>
      </c>
      <c r="BP26" s="31">
        <v>1785.1170881020892</v>
      </c>
      <c r="BQ26" s="31">
        <v>1698.3719900628741</v>
      </c>
      <c r="BR26" s="31">
        <v>1878.1447463270863</v>
      </c>
      <c r="BS26" s="31">
        <v>1869.8114129937533</v>
      </c>
      <c r="BT26" s="31">
        <v>876.66734313812617</v>
      </c>
      <c r="BV26" s="30">
        <v>-5512.7127678428578</v>
      </c>
      <c r="BW26" s="31">
        <v>-360.29136416666665</v>
      </c>
      <c r="BX26" s="31">
        <v>-511.94889126666669</v>
      </c>
      <c r="BY26" s="31">
        <v>-451.81291666666669</v>
      </c>
      <c r="BZ26" s="31">
        <v>-390.69238666666661</v>
      </c>
      <c r="CA26" s="31">
        <v>-530.01977546666672</v>
      </c>
      <c r="CB26" s="31">
        <v>-479.18234666666672</v>
      </c>
      <c r="CC26" s="31">
        <v>-484.02752426666672</v>
      </c>
      <c r="CD26" s="31">
        <v>-573.36911892380954</v>
      </c>
      <c r="CE26" s="31">
        <v>-387.3590869095238</v>
      </c>
      <c r="CF26" s="31">
        <v>-331.73970749523806</v>
      </c>
      <c r="CG26" s="31">
        <v>-542.35470328095232</v>
      </c>
      <c r="CH26" s="31">
        <v>-469.91494606666663</v>
      </c>
      <c r="CJ26" s="30">
        <v>-2520.7792407280003</v>
      </c>
      <c r="CK26" s="31">
        <v>-208.19121706666667</v>
      </c>
      <c r="CL26" s="31">
        <v>-208.19121706666667</v>
      </c>
      <c r="CM26" s="31">
        <v>-238.19121706666667</v>
      </c>
      <c r="CN26" s="31">
        <v>-212.34833657866665</v>
      </c>
      <c r="CO26" s="31">
        <v>-212.34833657866665</v>
      </c>
      <c r="CP26" s="31">
        <v>-242.34833657866665</v>
      </c>
      <c r="CQ26" s="31">
        <v>-77.418896898666674</v>
      </c>
      <c r="CR26" s="31">
        <v>-212.34833657866665</v>
      </c>
      <c r="CS26" s="31">
        <v>-242.34833657866665</v>
      </c>
      <c r="CT26" s="31">
        <v>-212.34833657866665</v>
      </c>
      <c r="CU26" s="31">
        <v>-212.34833657866665</v>
      </c>
      <c r="CV26" s="31">
        <v>-242.34833657866665</v>
      </c>
    </row>
    <row r="27" spans="3:100" x14ac:dyDescent="0.2">
      <c r="C27" s="14" t="s">
        <v>28</v>
      </c>
      <c r="D27" s="32">
        <v>0.17829748168812964</v>
      </c>
      <c r="E27" s="33">
        <v>9.4358215051975378E-2</v>
      </c>
      <c r="F27" s="33">
        <v>0.1407279846678971</v>
      </c>
      <c r="G27" s="33">
        <v>0.13303534498377573</v>
      </c>
      <c r="H27" s="33">
        <v>0.2090486883882591</v>
      </c>
      <c r="I27" s="33">
        <v>0.16227028101378541</v>
      </c>
      <c r="J27" s="33">
        <v>0.20257882710101591</v>
      </c>
      <c r="K27" s="33">
        <v>0.19106484119395722</v>
      </c>
      <c r="L27" s="33">
        <v>0.18764664437664169</v>
      </c>
      <c r="M27" s="33">
        <v>0.20890694030021639</v>
      </c>
      <c r="N27" s="33">
        <v>0.21924439416114511</v>
      </c>
      <c r="O27" s="33">
        <v>0.21876238148884775</v>
      </c>
      <c r="P27" s="33">
        <v>0.1032227063229411</v>
      </c>
      <c r="Q27" s="33"/>
      <c r="R27" s="32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F27" s="32">
        <v>0.21248362999082207</v>
      </c>
      <c r="AG27" s="33">
        <v>0.12735772371774928</v>
      </c>
      <c r="AH27" s="33">
        <v>0.15530025727776153</v>
      </c>
      <c r="AI27" s="33">
        <v>0.15774342764848459</v>
      </c>
      <c r="AJ27" s="33">
        <v>0.23628000924459239</v>
      </c>
      <c r="AK27" s="33">
        <v>0.19307979016202828</v>
      </c>
      <c r="AL27" s="33">
        <v>0.24500055408441643</v>
      </c>
      <c r="AM27" s="33">
        <v>0.29337237297649005</v>
      </c>
      <c r="AN27" s="33">
        <v>0.22066476895612172</v>
      </c>
      <c r="AO27" s="33">
        <v>0.24062491544218295</v>
      </c>
      <c r="AP27" s="33">
        <v>0.24220790020632935</v>
      </c>
      <c r="AQ27" s="33">
        <v>0.25412706372896748</v>
      </c>
      <c r="AR27" s="33">
        <v>0.15267486097504926</v>
      </c>
      <c r="AT27" s="32">
        <v>4.3616869914213305E-2</v>
      </c>
      <c r="AU27" s="33">
        <v>-3.8197703977051439E-2</v>
      </c>
      <c r="AV27" s="33">
        <v>9.0934527955512587E-3</v>
      </c>
      <c r="AW27" s="33">
        <v>2.8305485234421036E-2</v>
      </c>
      <c r="AX27" s="33">
        <v>6.0325539299203999E-2</v>
      </c>
      <c r="AY27" s="33">
        <v>6.0325539299203999E-2</v>
      </c>
      <c r="AZ27" s="33">
        <v>2.6944361065898301E-2</v>
      </c>
      <c r="BA27" s="33">
        <v>-4.5091345689369774E-2</v>
      </c>
      <c r="BB27" s="33">
        <v>8.5308100364518594E-2</v>
      </c>
      <c r="BC27" s="33">
        <v>7.3807667326481155E-2</v>
      </c>
      <c r="BD27" s="33">
        <v>9.6919886801813307E-2</v>
      </c>
      <c r="BE27" s="33">
        <v>9.6919886801813307E-2</v>
      </c>
      <c r="BF27" s="33">
        <v>-6.775467695992804E-2</v>
      </c>
      <c r="BH27" s="32">
        <v>0.20716601557746622</v>
      </c>
      <c r="BI27" s="33">
        <v>0.14462962969724155</v>
      </c>
      <c r="BJ27" s="33">
        <v>0.21338797185876507</v>
      </c>
      <c r="BK27" s="33">
        <v>0.2001775974667957</v>
      </c>
      <c r="BL27" s="33">
        <v>0.22329695731238386</v>
      </c>
      <c r="BM27" s="33">
        <v>0.20781078694468952</v>
      </c>
      <c r="BN27" s="33">
        <v>0.20110487209365718</v>
      </c>
      <c r="BO27" s="33">
        <v>0.16141384548263502</v>
      </c>
      <c r="BP27" s="33">
        <v>0.22827702257791824</v>
      </c>
      <c r="BQ27" s="33">
        <v>0.21941237649212447</v>
      </c>
      <c r="BR27" s="33">
        <v>0.22693721645621159</v>
      </c>
      <c r="BS27" s="33">
        <v>0.22593029541129922</v>
      </c>
      <c r="BT27" s="33">
        <v>0.16615270814841646</v>
      </c>
      <c r="BV27" s="32">
        <v>-2.505778530837663</v>
      </c>
      <c r="BW27" s="33">
        <v>-1.9652256227272726</v>
      </c>
      <c r="BX27" s="33">
        <v>-2.7924484978181816</v>
      </c>
      <c r="BY27" s="33">
        <v>-2.4644340909090907</v>
      </c>
      <c r="BZ27" s="33">
        <v>-2.1310493818181815</v>
      </c>
      <c r="CA27" s="33">
        <v>-2.8910169570909092</v>
      </c>
      <c r="CB27" s="33">
        <v>-2.6137218909090909</v>
      </c>
      <c r="CC27" s="33">
        <v>-2.6401501323636367</v>
      </c>
      <c r="CD27" s="33">
        <v>-3.1274679214025971</v>
      </c>
      <c r="CE27" s="33">
        <v>-2.1128677467792207</v>
      </c>
      <c r="CF27" s="33">
        <v>-1.8094893136103893</v>
      </c>
      <c r="CG27" s="33">
        <v>-2.958298381532467</v>
      </c>
      <c r="CH27" s="33">
        <v>-2.5631724330909087</v>
      </c>
      <c r="CJ27" s="32" t="e">
        <v>#DIV/0!</v>
      </c>
      <c r="CK27" s="33" t="e">
        <v>#DIV/0!</v>
      </c>
      <c r="CL27" s="33" t="e">
        <v>#DIV/0!</v>
      </c>
      <c r="CM27" s="33" t="e">
        <v>#DIV/0!</v>
      </c>
      <c r="CN27" s="33" t="e">
        <v>#DIV/0!</v>
      </c>
      <c r="CO27" s="33" t="e">
        <v>#DIV/0!</v>
      </c>
      <c r="CP27" s="33" t="e">
        <v>#DIV/0!</v>
      </c>
      <c r="CQ27" s="33" t="e">
        <v>#DIV/0!</v>
      </c>
      <c r="CR27" s="33" t="e">
        <v>#DIV/0!</v>
      </c>
      <c r="CS27" s="33" t="e">
        <v>#DIV/0!</v>
      </c>
      <c r="CT27" s="33" t="e">
        <v>#DIV/0!</v>
      </c>
      <c r="CU27" s="33" t="e">
        <v>#DIV/0!</v>
      </c>
      <c r="CV27" s="33" t="e">
        <v>#DIV/0!</v>
      </c>
    </row>
    <row r="28" spans="3:100" ht="7.5" customHeight="1" x14ac:dyDescent="0.2">
      <c r="C28" s="10"/>
      <c r="D28" s="2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2"/>
      <c r="S28" s="2"/>
      <c r="AF28" s="22"/>
      <c r="AG28" s="2"/>
      <c r="AT28" s="22"/>
      <c r="BH28" s="22"/>
      <c r="BV28" s="22"/>
      <c r="CJ28" s="22"/>
    </row>
    <row r="29" spans="3:100" x14ac:dyDescent="0.2">
      <c r="C29" s="19" t="s">
        <v>32</v>
      </c>
      <c r="D29" s="11">
        <v>-4038</v>
      </c>
      <c r="E29" s="12">
        <v>-336.5</v>
      </c>
      <c r="F29" s="12">
        <v>-336.5</v>
      </c>
      <c r="G29" s="12">
        <v>-336.5</v>
      </c>
      <c r="H29" s="12">
        <v>-336.5</v>
      </c>
      <c r="I29" s="12">
        <v>-336.5</v>
      </c>
      <c r="J29" s="12">
        <v>-336.5</v>
      </c>
      <c r="K29" s="12">
        <v>-336.5</v>
      </c>
      <c r="L29" s="12">
        <v>-336.5</v>
      </c>
      <c r="M29" s="12">
        <v>-336.5</v>
      </c>
      <c r="N29" s="12">
        <v>-336.5</v>
      </c>
      <c r="O29" s="12">
        <v>-336.5</v>
      </c>
      <c r="P29" s="12">
        <v>-336.5</v>
      </c>
      <c r="Q29" s="12"/>
      <c r="R29" s="11">
        <v>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F29" s="11">
        <v>-4038</v>
      </c>
      <c r="AG29" s="2">
        <v>-336.5</v>
      </c>
      <c r="AH29" s="2">
        <v>-336.5</v>
      </c>
      <c r="AI29" s="2">
        <v>-336.5</v>
      </c>
      <c r="AJ29" s="2">
        <v>-336.5</v>
      </c>
      <c r="AK29" s="2">
        <v>-336.5</v>
      </c>
      <c r="AL29" s="2">
        <v>-336.5</v>
      </c>
      <c r="AM29" s="2">
        <v>-336.5</v>
      </c>
      <c r="AN29" s="2">
        <v>-336.5</v>
      </c>
      <c r="AO29" s="2">
        <v>-336.5</v>
      </c>
      <c r="AP29" s="2">
        <v>-336.5</v>
      </c>
      <c r="AQ29" s="2">
        <v>-336.5</v>
      </c>
      <c r="AR29" s="2">
        <v>-336.5</v>
      </c>
      <c r="AT29" s="11">
        <v>0</v>
      </c>
      <c r="BH29" s="11">
        <v>0</v>
      </c>
      <c r="BV29" s="11">
        <v>0</v>
      </c>
      <c r="CJ29" s="11">
        <v>0</v>
      </c>
    </row>
    <row r="30" spans="3:100" ht="6" customHeight="1" x14ac:dyDescent="0.2">
      <c r="C30" s="10"/>
      <c r="D30" s="3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4"/>
      <c r="S30" s="2"/>
      <c r="AF30" s="34"/>
      <c r="AG30" s="2"/>
      <c r="AT30" s="34"/>
      <c r="BH30" s="34"/>
      <c r="BV30" s="34"/>
      <c r="CJ30" s="34"/>
    </row>
    <row r="31" spans="3:100" x14ac:dyDescent="0.2">
      <c r="C31" s="35" t="s">
        <v>33</v>
      </c>
      <c r="D31" s="30">
        <v>39629.728932305457</v>
      </c>
      <c r="E31" s="31">
        <v>1209.9747446045449</v>
      </c>
      <c r="F31" s="31">
        <v>2448.1006880586033</v>
      </c>
      <c r="G31" s="31">
        <v>2144.4196783861785</v>
      </c>
      <c r="H31" s="31">
        <v>4453.8693332908424</v>
      </c>
      <c r="I31" s="31">
        <v>3259.4850995505458</v>
      </c>
      <c r="J31" s="31">
        <v>4670.0854448629125</v>
      </c>
      <c r="K31" s="31">
        <v>1450.1933652128835</v>
      </c>
      <c r="L31" s="31">
        <v>4016.3290874621798</v>
      </c>
      <c r="M31" s="31">
        <v>4363.8082720062994</v>
      </c>
      <c r="N31" s="31">
        <v>5226.4775202917644</v>
      </c>
      <c r="O31" s="31">
        <v>5236.8442999712242</v>
      </c>
      <c r="P31" s="31">
        <v>1150.1413986074872</v>
      </c>
      <c r="Q31" s="24"/>
      <c r="R31" s="30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F31" s="30">
        <v>30545.002245452866</v>
      </c>
      <c r="AG31" s="31">
        <v>1098.4413887753908</v>
      </c>
      <c r="AH31" s="31">
        <v>1738.1756737993592</v>
      </c>
      <c r="AI31" s="31">
        <v>1541.0399791148238</v>
      </c>
      <c r="AJ31" s="31">
        <v>3333.5941302320753</v>
      </c>
      <c r="AK31" s="31">
        <v>2516.8706186251125</v>
      </c>
      <c r="AL31" s="31">
        <v>3753.9794476465968</v>
      </c>
      <c r="AM31" s="31">
        <v>1567.1166670682812</v>
      </c>
      <c r="AN31" s="31">
        <v>2935.3334748759025</v>
      </c>
      <c r="AO31" s="31">
        <v>3224.5477254449515</v>
      </c>
      <c r="AP31" s="31">
        <v>3789.9601734919161</v>
      </c>
      <c r="AQ31" s="31">
        <v>4019.275282290424</v>
      </c>
      <c r="AR31" s="31">
        <v>1026.6676840880259</v>
      </c>
      <c r="AT31" s="30">
        <v>439.14645599999744</v>
      </c>
      <c r="AU31" s="31">
        <v>-24.998013693333377</v>
      </c>
      <c r="AV31" s="31">
        <v>6.8666508666666743</v>
      </c>
      <c r="AW31" s="31">
        <v>22.798983146666643</v>
      </c>
      <c r="AX31" s="31">
        <v>54.66364770666658</v>
      </c>
      <c r="AY31" s="31">
        <v>54.66364770666658</v>
      </c>
      <c r="AZ31" s="31">
        <v>27.128312266666626</v>
      </c>
      <c r="BA31" s="31">
        <v>-18.159675093333348</v>
      </c>
      <c r="BB31" s="31">
        <v>81.595979986666649</v>
      </c>
      <c r="BC31" s="31">
        <v>70.595979986666663</v>
      </c>
      <c r="BD31" s="31">
        <v>102.46064454666671</v>
      </c>
      <c r="BE31" s="31">
        <v>102.46064454666671</v>
      </c>
      <c r="BF31" s="31">
        <v>-40.930345973333345</v>
      </c>
      <c r="BH31" s="30">
        <v>16679.072239423462</v>
      </c>
      <c r="BI31" s="31">
        <v>705.01395075581843</v>
      </c>
      <c r="BJ31" s="31">
        <v>1423.1984717259138</v>
      </c>
      <c r="BK31" s="31">
        <v>1270.5848498580203</v>
      </c>
      <c r="BL31" s="31">
        <v>1668.6522785974337</v>
      </c>
      <c r="BM31" s="31">
        <v>1430.3189452641002</v>
      </c>
      <c r="BN31" s="31">
        <v>1610.5083681949807</v>
      </c>
      <c r="BO31" s="31">
        <v>462.68279440326927</v>
      </c>
      <c r="BP31" s="31">
        <v>1785.1170881020892</v>
      </c>
      <c r="BQ31" s="31">
        <v>1698.3719900628741</v>
      </c>
      <c r="BR31" s="31">
        <v>1878.1447463270863</v>
      </c>
      <c r="BS31" s="31">
        <v>1869.8114129937533</v>
      </c>
      <c r="BT31" s="31">
        <v>876.66734313812617</v>
      </c>
      <c r="BV31" s="30">
        <v>-5512.7127678428578</v>
      </c>
      <c r="BW31" s="31">
        <v>-360.29136416666665</v>
      </c>
      <c r="BX31" s="31">
        <v>-511.94889126666669</v>
      </c>
      <c r="BY31" s="31">
        <v>-451.81291666666669</v>
      </c>
      <c r="BZ31" s="31">
        <v>-390.69238666666661</v>
      </c>
      <c r="CA31" s="31">
        <v>-530.01977546666672</v>
      </c>
      <c r="CB31" s="31">
        <v>-479.18234666666672</v>
      </c>
      <c r="CC31" s="31">
        <v>-484.02752426666672</v>
      </c>
      <c r="CD31" s="31">
        <v>-573.36911892380954</v>
      </c>
      <c r="CE31" s="31">
        <v>-387.3590869095238</v>
      </c>
      <c r="CF31" s="31">
        <v>-331.73970749523806</v>
      </c>
      <c r="CG31" s="31">
        <v>-542.35470328095232</v>
      </c>
      <c r="CH31" s="31">
        <v>-469.91494606666663</v>
      </c>
      <c r="CJ31" s="30">
        <v>-2520.7792407280003</v>
      </c>
      <c r="CK31" s="31">
        <v>-208.19121706666667</v>
      </c>
      <c r="CL31" s="31">
        <v>-208.19121706666667</v>
      </c>
      <c r="CM31" s="31">
        <v>-238.19121706666667</v>
      </c>
      <c r="CN31" s="31">
        <v>-212.34833657866665</v>
      </c>
      <c r="CO31" s="31">
        <v>-212.34833657866665</v>
      </c>
      <c r="CP31" s="31">
        <v>-242.34833657866665</v>
      </c>
      <c r="CQ31" s="31">
        <v>-77.418896898666674</v>
      </c>
      <c r="CR31" s="31">
        <v>-212.34833657866665</v>
      </c>
      <c r="CS31" s="31">
        <v>-242.34833657866665</v>
      </c>
      <c r="CT31" s="31">
        <v>-212.34833657866665</v>
      </c>
      <c r="CU31" s="31">
        <v>-212.34833657866665</v>
      </c>
      <c r="CV31" s="31">
        <v>-242.34833657866665</v>
      </c>
    </row>
    <row r="32" spans="3:100" x14ac:dyDescent="0.2">
      <c r="C32" s="14" t="s">
        <v>28</v>
      </c>
      <c r="D32" s="32">
        <v>0.1618101293879271</v>
      </c>
      <c r="E32" s="33">
        <v>7.3826654820703039E-2</v>
      </c>
      <c r="F32" s="33">
        <v>0.12372196759556676</v>
      </c>
      <c r="G32" s="33">
        <v>0.11499107133112739</v>
      </c>
      <c r="H32" s="33">
        <v>0.1943640411829205</v>
      </c>
      <c r="I32" s="33">
        <v>0.14708558250990017</v>
      </c>
      <c r="J32" s="33">
        <v>0.18896320502281158</v>
      </c>
      <c r="K32" s="33">
        <v>0.15508031227950297</v>
      </c>
      <c r="L32" s="33">
        <v>0.17314042449894965</v>
      </c>
      <c r="M32" s="33">
        <v>0.19395107329257927</v>
      </c>
      <c r="N32" s="33">
        <v>0.20598247851145612</v>
      </c>
      <c r="O32" s="33">
        <v>0.2055542361798674</v>
      </c>
      <c r="P32" s="33">
        <v>7.9858335661526142E-2</v>
      </c>
      <c r="Q32" s="33"/>
      <c r="R32" s="32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F32" s="32">
        <v>0.18767349662492105</v>
      </c>
      <c r="AG32" s="33">
        <v>9.7491783292407777E-2</v>
      </c>
      <c r="AH32" s="33">
        <v>0.13011148332435341</v>
      </c>
      <c r="AI32" s="33">
        <v>0.12947203849343702</v>
      </c>
      <c r="AJ32" s="33">
        <v>0.21461619891998424</v>
      </c>
      <c r="AK32" s="33">
        <v>0.17030975497437054</v>
      </c>
      <c r="AL32" s="33">
        <v>0.22484578066370203</v>
      </c>
      <c r="AM32" s="33">
        <v>0.24151329587635881</v>
      </c>
      <c r="AN32" s="33">
        <v>0.19796994193514955</v>
      </c>
      <c r="AO32" s="33">
        <v>0.21788714546855042</v>
      </c>
      <c r="AP32" s="33">
        <v>0.22245659885050895</v>
      </c>
      <c r="AQ32" s="33">
        <v>0.23449479360418013</v>
      </c>
      <c r="AR32" s="33">
        <v>0.11498684113875556</v>
      </c>
      <c r="AT32" s="32">
        <v>4.3616869914213305E-2</v>
      </c>
      <c r="AU32" s="33">
        <v>-3.8197703977051439E-2</v>
      </c>
      <c r="AV32" s="33">
        <v>9.0934527955512587E-3</v>
      </c>
      <c r="AW32" s="33">
        <v>2.8305485234421036E-2</v>
      </c>
      <c r="AX32" s="33">
        <v>6.0325539299203999E-2</v>
      </c>
      <c r="AY32" s="33">
        <v>6.0325539299203999E-2</v>
      </c>
      <c r="AZ32" s="33">
        <v>2.6944361065898301E-2</v>
      </c>
      <c r="BA32" s="33">
        <v>-4.5091345689369774E-2</v>
      </c>
      <c r="BB32" s="33">
        <v>8.5308100364518594E-2</v>
      </c>
      <c r="BC32" s="33">
        <v>7.3807667326481155E-2</v>
      </c>
      <c r="BD32" s="33">
        <v>9.6919886801813307E-2</v>
      </c>
      <c r="BE32" s="33">
        <v>9.6919886801813307E-2</v>
      </c>
      <c r="BF32" s="33">
        <v>-6.775467695992804E-2</v>
      </c>
      <c r="BH32" s="32">
        <v>0.20716601557746622</v>
      </c>
      <c r="BI32" s="33">
        <v>0.14462962969724155</v>
      </c>
      <c r="BJ32" s="33">
        <v>0.21338797185876507</v>
      </c>
      <c r="BK32" s="33">
        <v>0.2001775974667957</v>
      </c>
      <c r="BL32" s="33">
        <v>0.22329695731238386</v>
      </c>
      <c r="BM32" s="33">
        <v>0.20781078694468952</v>
      </c>
      <c r="BN32" s="33">
        <v>0.20110487209365718</v>
      </c>
      <c r="BO32" s="33">
        <v>0.16141384548263502</v>
      </c>
      <c r="BP32" s="33">
        <v>0.22827702257791824</v>
      </c>
      <c r="BQ32" s="33">
        <v>0.21941237649212447</v>
      </c>
      <c r="BR32" s="33">
        <v>0.22693721645621159</v>
      </c>
      <c r="BS32" s="33">
        <v>0.22593029541129922</v>
      </c>
      <c r="BT32" s="33">
        <v>0.16615270814841646</v>
      </c>
      <c r="BV32" s="32">
        <v>-2.505778530837663</v>
      </c>
      <c r="BW32" s="33">
        <v>-1.9652256227272726</v>
      </c>
      <c r="BX32" s="33">
        <v>-2.7924484978181816</v>
      </c>
      <c r="BY32" s="33">
        <v>-2.4644340909090907</v>
      </c>
      <c r="BZ32" s="33">
        <v>-2.1310493818181815</v>
      </c>
      <c r="CA32" s="33">
        <v>-2.8910169570909092</v>
      </c>
      <c r="CB32" s="33">
        <v>-2.6137218909090909</v>
      </c>
      <c r="CC32" s="33">
        <v>-2.6401501323636367</v>
      </c>
      <c r="CD32" s="33">
        <v>-3.1274679214025971</v>
      </c>
      <c r="CE32" s="33">
        <v>-2.1128677467792207</v>
      </c>
      <c r="CF32" s="33">
        <v>-1.8094893136103893</v>
      </c>
      <c r="CG32" s="33">
        <v>-2.958298381532467</v>
      </c>
      <c r="CH32" s="33">
        <v>-2.5631724330909087</v>
      </c>
      <c r="CJ32" s="32" t="e">
        <v>#DIV/0!</v>
      </c>
      <c r="CK32" s="33" t="e">
        <v>#DIV/0!</v>
      </c>
      <c r="CL32" s="33" t="e">
        <v>#DIV/0!</v>
      </c>
      <c r="CM32" s="33" t="e">
        <v>#DIV/0!</v>
      </c>
      <c r="CN32" s="33" t="e">
        <v>#DIV/0!</v>
      </c>
      <c r="CO32" s="33" t="e">
        <v>#DIV/0!</v>
      </c>
      <c r="CP32" s="33" t="e">
        <v>#DIV/0!</v>
      </c>
      <c r="CQ32" s="33" t="e">
        <v>#DIV/0!</v>
      </c>
      <c r="CR32" s="33" t="e">
        <v>#DIV/0!</v>
      </c>
      <c r="CS32" s="33" t="e">
        <v>#DIV/0!</v>
      </c>
      <c r="CT32" s="33" t="e">
        <v>#DIV/0!</v>
      </c>
      <c r="CU32" s="33" t="e">
        <v>#DIV/0!</v>
      </c>
      <c r="CV32" s="33" t="e">
        <v>#DIV/0!</v>
      </c>
    </row>
    <row r="33" spans="3:88" ht="5.25" customHeight="1" x14ac:dyDescent="0.2">
      <c r="C33" s="36"/>
      <c r="D33" s="3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7"/>
      <c r="S33" s="2"/>
      <c r="AF33" s="37"/>
      <c r="AG33" s="2"/>
      <c r="AT33" s="37"/>
      <c r="BH33" s="37"/>
      <c r="BV33" s="37"/>
      <c r="CJ33" s="37"/>
    </row>
    <row r="34" spans="3:88" x14ac:dyDescent="0.2">
      <c r="C34" s="38" t="s">
        <v>34</v>
      </c>
      <c r="D34" s="11">
        <v>-17052</v>
      </c>
      <c r="E34" s="2">
        <v>-1421</v>
      </c>
      <c r="F34" s="2">
        <v>-1421</v>
      </c>
      <c r="G34" s="2">
        <v>-1421</v>
      </c>
      <c r="H34" s="2">
        <v>-1421</v>
      </c>
      <c r="I34" s="2">
        <v>-1421</v>
      </c>
      <c r="J34" s="2">
        <v>-1421</v>
      </c>
      <c r="K34" s="2">
        <v>-1421</v>
      </c>
      <c r="L34" s="2">
        <v>-1421</v>
      </c>
      <c r="M34" s="2">
        <v>-1421</v>
      </c>
      <c r="N34" s="2">
        <v>-1421</v>
      </c>
      <c r="O34" s="2">
        <v>-1421</v>
      </c>
      <c r="P34" s="2">
        <v>-1421</v>
      </c>
      <c r="Q34" s="2"/>
      <c r="R34" s="11">
        <v>0</v>
      </c>
      <c r="S34" s="2"/>
      <c r="AF34" s="11">
        <v>0</v>
      </c>
      <c r="AG34" s="2"/>
      <c r="AT34" s="11">
        <v>0</v>
      </c>
      <c r="BH34" s="11">
        <v>0</v>
      </c>
      <c r="BV34" s="11">
        <v>0</v>
      </c>
      <c r="CJ34" s="11">
        <v>0</v>
      </c>
    </row>
    <row r="35" spans="3:88" ht="6" customHeight="1" x14ac:dyDescent="0.2">
      <c r="C35" s="10"/>
      <c r="D35" s="3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9"/>
      <c r="S35" s="2"/>
      <c r="AF35" s="39"/>
      <c r="AG35" s="2"/>
      <c r="AT35" s="39"/>
      <c r="BH35" s="39"/>
      <c r="BV35" s="39"/>
      <c r="CJ35" s="39"/>
    </row>
    <row r="36" spans="3:88" ht="15" customHeight="1" x14ac:dyDescent="0.2">
      <c r="C36" s="29" t="s">
        <v>35</v>
      </c>
      <c r="D36" s="40">
        <v>22577.728932305457</v>
      </c>
      <c r="E36" s="41">
        <v>-211.02525539545513</v>
      </c>
      <c r="F36" s="41">
        <v>1027.1006880586033</v>
      </c>
      <c r="G36" s="41">
        <v>723.41967838617848</v>
      </c>
      <c r="H36" s="41">
        <v>3032.8693332908424</v>
      </c>
      <c r="I36" s="41">
        <v>1838.4850995505458</v>
      </c>
      <c r="J36" s="41">
        <v>3249.0854448629125</v>
      </c>
      <c r="K36" s="41">
        <v>29.193365212883464</v>
      </c>
      <c r="L36" s="41">
        <v>2595.3290874621798</v>
      </c>
      <c r="M36" s="41">
        <v>2942.8082720062994</v>
      </c>
      <c r="N36" s="41">
        <v>3805.4775202917644</v>
      </c>
      <c r="O36" s="41">
        <v>3815.8442999712242</v>
      </c>
      <c r="P36" s="41">
        <v>-270.85860139251281</v>
      </c>
      <c r="Q36" s="42"/>
      <c r="R36" s="40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F36" s="40">
        <v>30545.002245452866</v>
      </c>
      <c r="AG36" s="41">
        <v>1098.4413887753908</v>
      </c>
      <c r="AH36" s="41">
        <v>1738.1756737993592</v>
      </c>
      <c r="AI36" s="41">
        <v>1541.0399791148238</v>
      </c>
      <c r="AJ36" s="41">
        <v>3333.5941302320753</v>
      </c>
      <c r="AK36" s="41">
        <v>2516.8706186251125</v>
      </c>
      <c r="AL36" s="41">
        <v>3753.9794476465968</v>
      </c>
      <c r="AM36" s="41">
        <v>1567.1166670682812</v>
      </c>
      <c r="AN36" s="41">
        <v>2935.3334748759025</v>
      </c>
      <c r="AO36" s="41">
        <v>3224.5477254449515</v>
      </c>
      <c r="AP36" s="41">
        <v>3789.9601734919161</v>
      </c>
      <c r="AQ36" s="41">
        <v>4019.275282290424</v>
      </c>
      <c r="AR36" s="41">
        <v>1026.6676840880259</v>
      </c>
      <c r="AT36" s="40">
        <v>439.14645599999744</v>
      </c>
      <c r="BH36" s="40">
        <v>16679.072239423462</v>
      </c>
      <c r="BV36" s="40">
        <v>-5512.7127678428578</v>
      </c>
      <c r="CJ36" s="40">
        <v>-2520.7792407280003</v>
      </c>
    </row>
    <row r="37" spans="3:88" ht="7.5" customHeight="1" outlineLevel="1" x14ac:dyDescent="0.2">
      <c r="D37" s="4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3"/>
      <c r="S37" s="2"/>
      <c r="AF37" s="43"/>
      <c r="AG37" s="2"/>
      <c r="AT37" s="43"/>
      <c r="BH37" s="43"/>
      <c r="BV37" s="43"/>
      <c r="CJ37" s="43"/>
    </row>
    <row r="38" spans="3:88" outlineLevel="1" x14ac:dyDescent="0.2">
      <c r="C38" s="1" t="s">
        <v>36</v>
      </c>
      <c r="D38" s="12">
        <v>-3360</v>
      </c>
      <c r="E38" s="2">
        <v>-280</v>
      </c>
      <c r="F38" s="2">
        <v>-280</v>
      </c>
      <c r="G38" s="2">
        <v>-280</v>
      </c>
      <c r="H38" s="2">
        <v>-280</v>
      </c>
      <c r="I38" s="2">
        <v>-280</v>
      </c>
      <c r="J38" s="2">
        <v>-280</v>
      </c>
      <c r="K38" s="2">
        <v>-280</v>
      </c>
      <c r="L38" s="2">
        <v>-280</v>
      </c>
      <c r="M38" s="2">
        <v>-280</v>
      </c>
      <c r="N38" s="2">
        <v>-280</v>
      </c>
      <c r="O38" s="2">
        <v>-280</v>
      </c>
      <c r="P38" s="2">
        <v>-280</v>
      </c>
      <c r="Q38" s="2"/>
      <c r="R38" s="12">
        <v>0</v>
      </c>
      <c r="S38" s="2"/>
      <c r="AF38" s="12">
        <v>0</v>
      </c>
      <c r="AG38" s="2"/>
      <c r="AT38" s="12">
        <v>0</v>
      </c>
      <c r="BH38" s="12">
        <v>0</v>
      </c>
      <c r="BV38" s="12">
        <v>0</v>
      </c>
      <c r="CJ38" s="12">
        <v>0</v>
      </c>
    </row>
    <row r="39" spans="3:88" ht="7.5" customHeight="1" outlineLevel="1" x14ac:dyDescent="0.2">
      <c r="D39" s="4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4"/>
      <c r="S39" s="2"/>
      <c r="AF39" s="44"/>
      <c r="AG39" s="2"/>
      <c r="AT39" s="44"/>
      <c r="BH39" s="44"/>
      <c r="BV39" s="44"/>
      <c r="CJ39" s="44"/>
    </row>
    <row r="40" spans="3:88" outlineLevel="1" x14ac:dyDescent="0.2">
      <c r="C40" s="29" t="s">
        <v>37</v>
      </c>
      <c r="D40" s="31">
        <v>19217.728932305457</v>
      </c>
      <c r="E40" s="31">
        <v>-491.02525539545513</v>
      </c>
      <c r="F40" s="31">
        <v>747.10068805860328</v>
      </c>
      <c r="G40" s="31">
        <v>443.41967838617848</v>
      </c>
      <c r="H40" s="31">
        <v>2752.8693332908424</v>
      </c>
      <c r="I40" s="31">
        <v>1558.4850995505458</v>
      </c>
      <c r="J40" s="31">
        <v>2969.0854448629125</v>
      </c>
      <c r="K40" s="31">
        <v>-250.80663478711654</v>
      </c>
      <c r="L40" s="31">
        <v>2315.3290874621798</v>
      </c>
      <c r="M40" s="31">
        <v>2662.8082720062994</v>
      </c>
      <c r="N40" s="31">
        <v>3525.4775202917644</v>
      </c>
      <c r="O40" s="31">
        <v>3535.8442999712242</v>
      </c>
      <c r="P40" s="31">
        <v>-550.85860139251281</v>
      </c>
      <c r="Q40" s="24"/>
      <c r="R40" s="31">
        <v>0</v>
      </c>
      <c r="S40" s="2"/>
      <c r="AF40" s="31">
        <v>30545.002245452866</v>
      </c>
      <c r="AG40" s="2"/>
      <c r="AT40" s="31">
        <v>439.14645599999744</v>
      </c>
      <c r="BH40" s="31">
        <v>16679.072239423462</v>
      </c>
      <c r="BV40" s="31">
        <v>-5512.7127678428578</v>
      </c>
      <c r="CJ40" s="31">
        <v>-2520.7792407280003</v>
      </c>
    </row>
    <row r="41" spans="3:88" ht="7.5" customHeight="1" outlineLevel="1" x14ac:dyDescent="0.2">
      <c r="D41" s="4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5"/>
      <c r="S41" s="2"/>
      <c r="AF41" s="45"/>
      <c r="AG41" s="2"/>
      <c r="AT41" s="45"/>
      <c r="BH41" s="45"/>
      <c r="BV41" s="45"/>
      <c r="CJ41" s="45"/>
    </row>
    <row r="42" spans="3:88" outlineLevel="1" x14ac:dyDescent="0.2">
      <c r="C42" s="1" t="s">
        <v>38</v>
      </c>
      <c r="D42" s="12">
        <v>-7471.5641600549252</v>
      </c>
      <c r="E42" s="27">
        <v>-191.57479738853624</v>
      </c>
      <c r="F42" s="27">
        <v>-446.62874174007226</v>
      </c>
      <c r="G42" s="27">
        <v>-384.07045374755273</v>
      </c>
      <c r="H42" s="27">
        <v>-859.81708265791349</v>
      </c>
      <c r="I42" s="27">
        <v>-613.77393050741239</v>
      </c>
      <c r="J42" s="27">
        <v>-904.35760164175997</v>
      </c>
      <c r="K42" s="27">
        <v>-241.05983323385399</v>
      </c>
      <c r="L42" s="27">
        <v>-769.68379201720904</v>
      </c>
      <c r="M42" s="27">
        <v>-841.26450403329761</v>
      </c>
      <c r="N42" s="27">
        <v>-1018.9743691801034</v>
      </c>
      <c r="O42" s="27">
        <v>-1021.1099257940722</v>
      </c>
      <c r="P42" s="27">
        <v>-179.24912811314235</v>
      </c>
      <c r="Q42" s="27"/>
      <c r="R42" s="12">
        <v>0</v>
      </c>
      <c r="S42" s="2"/>
      <c r="AF42" s="12">
        <v>0</v>
      </c>
      <c r="AG42" s="2"/>
      <c r="AT42" s="12">
        <v>0</v>
      </c>
      <c r="BH42" s="12">
        <v>0</v>
      </c>
      <c r="BV42" s="12">
        <v>0</v>
      </c>
      <c r="CJ42" s="12">
        <v>0</v>
      </c>
    </row>
    <row r="43" spans="3:88" ht="7.5" customHeight="1" outlineLevel="1" x14ac:dyDescent="0.2">
      <c r="D43" s="4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4"/>
      <c r="S43" s="2"/>
      <c r="AF43" s="44"/>
      <c r="AG43" s="2"/>
      <c r="AT43" s="44"/>
      <c r="BH43" s="44"/>
      <c r="BV43" s="44"/>
      <c r="CJ43" s="44"/>
    </row>
    <row r="44" spans="3:88" outlineLevel="1" x14ac:dyDescent="0.2">
      <c r="C44" s="29" t="s">
        <v>39</v>
      </c>
      <c r="D44" s="31">
        <v>11746.164772250533</v>
      </c>
      <c r="E44" s="31">
        <v>-682.60005278399137</v>
      </c>
      <c r="F44" s="31">
        <v>300.47194631853102</v>
      </c>
      <c r="G44" s="31">
        <v>59.349224638625742</v>
      </c>
      <c r="H44" s="31">
        <v>1893.0522506329289</v>
      </c>
      <c r="I44" s="31">
        <v>944.7111690431334</v>
      </c>
      <c r="J44" s="31">
        <v>2064.7278432211524</v>
      </c>
      <c r="K44" s="31">
        <v>-491.8664680209705</v>
      </c>
      <c r="L44" s="31">
        <v>1545.6452954449708</v>
      </c>
      <c r="M44" s="31">
        <v>1821.5437679730016</v>
      </c>
      <c r="N44" s="31">
        <v>2506.5031511116613</v>
      </c>
      <c r="O44" s="31">
        <v>2514.7343741771519</v>
      </c>
      <c r="P44" s="31">
        <v>-730.10772950565513</v>
      </c>
      <c r="Q44" s="24"/>
      <c r="R44" s="31">
        <v>0</v>
      </c>
      <c r="S44" s="2"/>
      <c r="AF44" s="31">
        <v>30545.002245452866</v>
      </c>
      <c r="AG44" s="2"/>
      <c r="AT44" s="31">
        <v>439.14645599999744</v>
      </c>
      <c r="BH44" s="31">
        <v>16679.072239423462</v>
      </c>
      <c r="BV44" s="31">
        <v>-5512.7127678428578</v>
      </c>
      <c r="CJ44" s="31">
        <v>-2520.7792407280003</v>
      </c>
    </row>
    <row r="45" spans="3:88" x14ac:dyDescent="0.2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AF45" s="2"/>
      <c r="AG45" s="2"/>
      <c r="AT45" s="2"/>
      <c r="BH45" s="2"/>
      <c r="BV45" s="2"/>
      <c r="CJ45" s="2"/>
    </row>
    <row r="46" spans="3:88" x14ac:dyDescent="0.2">
      <c r="D46" s="4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6"/>
      <c r="S46" s="2"/>
      <c r="AF46" s="46"/>
      <c r="AG46" s="2"/>
      <c r="AT46" s="46"/>
      <c r="BH46" s="46"/>
      <c r="BV46" s="46"/>
      <c r="CJ46" s="46"/>
    </row>
    <row r="47" spans="3:88" x14ac:dyDescent="0.2">
      <c r="D47" s="47">
        <v>0.39389793977013959</v>
      </c>
      <c r="E47" s="47">
        <v>0.33858269304785743</v>
      </c>
      <c r="F47" s="47">
        <v>0.36055822863632825</v>
      </c>
      <c r="G47" s="47">
        <v>0.35436858169553526</v>
      </c>
      <c r="H47" s="47">
        <v>0.38772592357841651</v>
      </c>
      <c r="I47" s="47">
        <v>0.38545212520333111</v>
      </c>
      <c r="J47" s="47">
        <v>0.40202624985588836</v>
      </c>
      <c r="K47" s="47">
        <v>0.45189379763679122</v>
      </c>
      <c r="L47" s="47">
        <v>0.39576057844657192</v>
      </c>
      <c r="M47" s="47">
        <v>0.41754987835678559</v>
      </c>
      <c r="N47" s="47">
        <v>0.40865691514397828</v>
      </c>
      <c r="O47" s="47">
        <v>0.40789009659962883</v>
      </c>
      <c r="P47" s="47">
        <v>0.43453907779968909</v>
      </c>
      <c r="Q47" s="47"/>
      <c r="R47" s="47">
        <v>0</v>
      </c>
      <c r="S47" s="2"/>
      <c r="AF47" s="47">
        <v>0.40467717769275396</v>
      </c>
      <c r="AG47" s="2"/>
      <c r="AT47" s="47">
        <v>0.31648597181746813</v>
      </c>
      <c r="BH47" s="47">
        <v>0.36330248243508645</v>
      </c>
      <c r="BV47" s="47">
        <v>-0.83436363636363708</v>
      </c>
      <c r="CJ47" s="47" t="e">
        <v>#DIV/0!</v>
      </c>
    </row>
    <row r="48" spans="3:88" x14ac:dyDescent="0.2">
      <c r="D48" s="47">
        <v>9.367448684825648E-2</v>
      </c>
      <c r="E48" s="47">
        <v>0.10555351350707208</v>
      </c>
      <c r="F48" s="47">
        <v>9.8318360823103787E-2</v>
      </c>
      <c r="G48" s="47">
        <v>9.3960501455111409E-2</v>
      </c>
      <c r="H48" s="47">
        <v>7.4387117059678293E-2</v>
      </c>
      <c r="I48" s="47">
        <v>0.10116624461057945</v>
      </c>
      <c r="J48" s="47">
        <v>8.3778113359469233E-2</v>
      </c>
      <c r="K48" s="47">
        <v>0.19892352087715626</v>
      </c>
      <c r="L48" s="47">
        <v>8.301190655034095E-2</v>
      </c>
      <c r="M48" s="47">
        <v>8.2687471660140538E-2</v>
      </c>
      <c r="N48" s="47">
        <v>8.2221267916845558E-2</v>
      </c>
      <c r="O48" s="47">
        <v>7.4128628402596569E-2</v>
      </c>
      <c r="P48" s="47">
        <v>0.13121992547376338</v>
      </c>
      <c r="Q48" s="47"/>
      <c r="R48" s="47"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F48" s="47">
        <v>8.5057416334155284E-2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T48" s="47">
        <v>0.12435303239699527</v>
      </c>
      <c r="BH48" s="47">
        <v>7.566103374708931E-2</v>
      </c>
      <c r="BV48" s="47">
        <v>0.50677596233766231</v>
      </c>
      <c r="CJ48" s="47" t="e">
        <v>#DIV/0!</v>
      </c>
    </row>
    <row r="49" spans="4:88" x14ac:dyDescent="0.2">
      <c r="D49" s="47">
        <v>0.12821412264629189</v>
      </c>
      <c r="E49" s="47">
        <v>0.14731769347050036</v>
      </c>
      <c r="F49" s="47">
        <v>0.12829603088288374</v>
      </c>
      <c r="G49" s="47">
        <v>0.13463901653080973</v>
      </c>
      <c r="H49" s="47">
        <v>0.1096766283693269</v>
      </c>
      <c r="I49" s="47">
        <v>0.12791632008482071</v>
      </c>
      <c r="J49" s="47">
        <v>0.12070204615979814</v>
      </c>
      <c r="K49" s="47">
        <v>7.5539805351089201E-2</v>
      </c>
      <c r="L49" s="47">
        <v>0.13056661674342498</v>
      </c>
      <c r="M49" s="47">
        <v>0.1314431368165791</v>
      </c>
      <c r="N49" s="47">
        <v>0.11199001426017705</v>
      </c>
      <c r="O49" s="47">
        <v>0.11978122277295719</v>
      </c>
      <c r="P49" s="47">
        <v>0.20985273404502713</v>
      </c>
      <c r="Q49" s="47"/>
      <c r="R49" s="47">
        <v>0</v>
      </c>
      <c r="S49" s="2"/>
      <c r="AF49" s="47">
        <v>0.11298561506417702</v>
      </c>
      <c r="AG49" s="2"/>
      <c r="AT49" s="47">
        <v>0.14851606950625951</v>
      </c>
      <c r="BH49" s="47">
        <v>8.702854666660427E-2</v>
      </c>
      <c r="BV49" s="47">
        <v>1.1646389321363637</v>
      </c>
      <c r="CJ49" s="47" t="e">
        <v>#DIV/0!</v>
      </c>
    </row>
    <row r="50" spans="4:88" x14ac:dyDescent="0.2">
      <c r="D50" s="47">
        <v>0.17966191898306771</v>
      </c>
      <c r="E50" s="47">
        <v>9.5259111991925327E-2</v>
      </c>
      <c r="F50" s="47">
        <v>0.14183906407204433</v>
      </c>
      <c r="G50" s="47">
        <v>0.1341503526492718</v>
      </c>
      <c r="H50" s="47">
        <v>0.21047234479275573</v>
      </c>
      <c r="I50" s="47">
        <v>0.16341326490580677</v>
      </c>
      <c r="J50" s="47">
        <v>0.2038573558703648</v>
      </c>
      <c r="K50" s="47">
        <v>0.19428518422080043</v>
      </c>
      <c r="L50" s="47">
        <v>0.18890891752865283</v>
      </c>
      <c r="M50" s="47">
        <v>0.21035609021095469</v>
      </c>
      <c r="N50" s="47">
        <v>0.22059193682734687</v>
      </c>
      <c r="O50" s="47">
        <v>0.22010147659812715</v>
      </c>
      <c r="P50" s="47">
        <v>0.10434569467519575</v>
      </c>
      <c r="Q50" s="47"/>
      <c r="R50" s="47">
        <v>0</v>
      </c>
      <c r="S50" s="2"/>
      <c r="AF50" s="47">
        <v>0.21406190769617162</v>
      </c>
      <c r="AG50" s="2"/>
      <c r="AT50" s="47">
        <v>4.3616869914213305E-2</v>
      </c>
      <c r="BH50" s="47">
        <v>0.20887833171389825</v>
      </c>
      <c r="BV50" s="47">
        <v>-2.505778530837663</v>
      </c>
      <c r="CJ50" s="47" t="e">
        <v>#DIV/0!</v>
      </c>
    </row>
    <row r="51" spans="4:88" x14ac:dyDescent="0.2">
      <c r="D51" s="47">
        <v>0.16304839575683647</v>
      </c>
      <c r="E51" s="47">
        <v>7.4531524103977176E-2</v>
      </c>
      <c r="F51" s="47">
        <v>0.12469878063215226</v>
      </c>
      <c r="G51" s="47">
        <v>0.11595484472543435</v>
      </c>
      <c r="H51" s="47">
        <v>0.19568769269285002</v>
      </c>
      <c r="I51" s="47">
        <v>0.1481216098742893</v>
      </c>
      <c r="J51" s="47">
        <v>0.19015580198581783</v>
      </c>
      <c r="K51" s="47">
        <v>0.15769414640580875</v>
      </c>
      <c r="L51" s="47">
        <v>0.17430511630624979</v>
      </c>
      <c r="M51" s="47">
        <v>0.19529647704099293</v>
      </c>
      <c r="N51" s="47">
        <v>0.20724850941430403</v>
      </c>
      <c r="O51" s="47">
        <v>0.20681248117833007</v>
      </c>
      <c r="P51" s="47">
        <v>8.0727136567576449E-2</v>
      </c>
      <c r="Q51" s="47"/>
      <c r="R51" s="47">
        <v>0</v>
      </c>
      <c r="S51" s="2"/>
      <c r="AF51" s="47">
        <v>0.1890674905792831</v>
      </c>
      <c r="AG51" s="2"/>
      <c r="AT51" s="47">
        <v>4.3616869914213305E-2</v>
      </c>
      <c r="BH51" s="47">
        <v>0.20887833171389825</v>
      </c>
      <c r="BV51" s="47">
        <v>-2.505778530837663</v>
      </c>
      <c r="CJ51" s="47" t="e">
        <v>#DIV/0!</v>
      </c>
    </row>
    <row r="52" spans="4:88" x14ac:dyDescent="0.2">
      <c r="D52" s="2"/>
      <c r="E52" s="2"/>
      <c r="R52" s="2"/>
      <c r="S52" s="2"/>
      <c r="AF52" s="2"/>
      <c r="AG52" s="2"/>
      <c r="AT52" s="2"/>
      <c r="BH52" s="2"/>
      <c r="BV52" s="2"/>
      <c r="CJ52" s="2"/>
    </row>
    <row r="53" spans="4:88" x14ac:dyDescent="0.2">
      <c r="D53" s="2"/>
      <c r="E53" s="2"/>
      <c r="R53" s="2"/>
      <c r="S53" s="2"/>
      <c r="AF53" s="2"/>
      <c r="AG53" s="2"/>
      <c r="AT53" s="2"/>
      <c r="BV53" s="2"/>
      <c r="CJ53" s="2"/>
    </row>
    <row r="54" spans="4:88" x14ac:dyDescent="0.2">
      <c r="D54" s="2"/>
      <c r="E54" s="2"/>
      <c r="R54" s="2"/>
      <c r="S54" s="2"/>
      <c r="AF54" s="2"/>
      <c r="AG54" s="2"/>
      <c r="AT54" s="2"/>
      <c r="BV54" s="2"/>
      <c r="CJ54" s="2"/>
    </row>
    <row r="55" spans="4:88" x14ac:dyDescent="0.2">
      <c r="D55" s="2"/>
      <c r="E55" s="2"/>
      <c r="R55" s="2"/>
      <c r="S55" s="2"/>
      <c r="AF55" s="2"/>
      <c r="AG55" s="2"/>
      <c r="AT55" s="2"/>
      <c r="BV55" s="2"/>
      <c r="CJ55" s="2"/>
    </row>
    <row r="56" spans="4:88" x14ac:dyDescent="0.2">
      <c r="D56" s="2"/>
      <c r="E56" s="2"/>
      <c r="R56" s="2"/>
      <c r="S56" s="2"/>
      <c r="AF56" s="2"/>
      <c r="AG56" s="2"/>
      <c r="AT56" s="2"/>
      <c r="BV56" s="2"/>
      <c r="CJ56" s="2"/>
    </row>
    <row r="57" spans="4:88" x14ac:dyDescent="0.2">
      <c r="E57" s="2"/>
      <c r="S57" s="2"/>
      <c r="AG57" s="2"/>
    </row>
    <row r="58" spans="4:88" x14ac:dyDescent="0.2">
      <c r="E58" s="2"/>
      <c r="S58" s="2"/>
      <c r="AG58" s="2"/>
    </row>
    <row r="61" spans="4:88" x14ac:dyDescent="0.2"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AF61" s="28"/>
      <c r="AT61" s="28"/>
      <c r="BH61" s="28"/>
      <c r="BV61" s="28"/>
      <c r="CJ61" s="28"/>
    </row>
    <row r="62" spans="4:88" x14ac:dyDescent="0.2"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AF62" s="28"/>
      <c r="AT62" s="28"/>
      <c r="BH62" s="28"/>
      <c r="BV62" s="28"/>
      <c r="CJ62" s="28"/>
    </row>
    <row r="63" spans="4:88" x14ac:dyDescent="0.2"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AF63" s="28"/>
      <c r="AT63" s="28"/>
      <c r="BH63" s="28"/>
      <c r="BV63" s="28"/>
      <c r="CJ63" s="28"/>
    </row>
  </sheetData>
  <pageMargins left="0.7" right="0.7" top="0.75" bottom="0.75" header="0.3" footer="0.3"/>
  <pageSetup paperSize="9" scale="8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D701-7D1F-4E53-B74A-5B56B96359C8}">
  <sheetPr>
    <tabColor rgb="FF92D050"/>
  </sheetPr>
  <dimension ref="B1:T109"/>
  <sheetViews>
    <sheetView zoomScale="115" zoomScaleNormal="115" workbookViewId="0">
      <selection activeCell="C10" sqref="C10"/>
    </sheetView>
  </sheetViews>
  <sheetFormatPr defaultRowHeight="15" x14ac:dyDescent="0.2"/>
  <cols>
    <col min="1" max="1" width="11.02734375" bestFit="1" customWidth="1"/>
    <col min="2" max="2" width="6.3203125" bestFit="1" customWidth="1"/>
    <col min="3" max="3" width="49.234375" bestFit="1" customWidth="1"/>
    <col min="4" max="4" width="53.80859375" bestFit="1" customWidth="1"/>
    <col min="5" max="5" width="8.7421875" bestFit="1" customWidth="1"/>
    <col min="6" max="17" width="8.875" customWidth="1"/>
    <col min="18" max="18" width="11.703125" bestFit="1" customWidth="1"/>
    <col min="19" max="48" width="10.35546875" bestFit="1" customWidth="1"/>
    <col min="49" max="49" width="10.76171875" bestFit="1" customWidth="1"/>
    <col min="50" max="51" width="10.35546875" bestFit="1" customWidth="1"/>
    <col min="52" max="52" width="10.76171875" bestFit="1" customWidth="1"/>
    <col min="53" max="64" width="10.35546875" bestFit="1" customWidth="1"/>
    <col min="65" max="65" width="11.97265625" bestFit="1" customWidth="1"/>
  </cols>
  <sheetData>
    <row r="1" spans="2:18" x14ac:dyDescent="0.2">
      <c r="B1" t="s">
        <v>40</v>
      </c>
      <c r="C1" t="s">
        <v>41</v>
      </c>
      <c r="D1" t="s">
        <v>42</v>
      </c>
      <c r="F1" s="48">
        <v>2601</v>
      </c>
      <c r="G1" s="48">
        <v>2602</v>
      </c>
      <c r="H1" s="48">
        <v>2603</v>
      </c>
      <c r="I1" s="48">
        <v>2604</v>
      </c>
      <c r="J1" s="48">
        <v>2605</v>
      </c>
      <c r="K1" s="48">
        <v>2606</v>
      </c>
      <c r="L1" s="48">
        <v>2607</v>
      </c>
      <c r="M1" s="48">
        <v>2608</v>
      </c>
      <c r="N1" s="48">
        <v>2609</v>
      </c>
      <c r="O1" s="48">
        <v>2610</v>
      </c>
      <c r="P1" s="48">
        <v>2611</v>
      </c>
      <c r="Q1" s="48">
        <v>2612</v>
      </c>
      <c r="R1" s="48" t="s">
        <v>43</v>
      </c>
    </row>
    <row r="2" spans="2:18" x14ac:dyDescent="0.2">
      <c r="B2" s="49">
        <v>5010</v>
      </c>
      <c r="C2" t="s">
        <v>44</v>
      </c>
      <c r="D2" s="49" t="s">
        <v>45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>
        <f>SUM(F2:Q2)</f>
        <v>0</v>
      </c>
    </row>
    <row r="3" spans="2:18" x14ac:dyDescent="0.2">
      <c r="B3" s="49">
        <v>5020</v>
      </c>
      <c r="C3" t="s">
        <v>46</v>
      </c>
      <c r="D3" s="49" t="s">
        <v>47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50">
        <f t="shared" ref="R3:R66" si="0">SUM(F3:Q3)</f>
        <v>0</v>
      </c>
    </row>
    <row r="4" spans="2:18" x14ac:dyDescent="0.2">
      <c r="B4" s="49">
        <v>5030</v>
      </c>
      <c r="C4" t="s">
        <v>48</v>
      </c>
      <c r="D4" s="49" t="s">
        <v>49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50">
        <f t="shared" si="0"/>
        <v>0</v>
      </c>
    </row>
    <row r="5" spans="2:18" x14ac:dyDescent="0.2">
      <c r="B5" s="49">
        <v>5060</v>
      </c>
      <c r="C5" t="s">
        <v>50</v>
      </c>
      <c r="D5" s="49" t="s">
        <v>51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50">
        <f t="shared" si="0"/>
        <v>0</v>
      </c>
    </row>
    <row r="6" spans="2:18" x14ac:dyDescent="0.2">
      <c r="B6" s="49">
        <v>5061</v>
      </c>
      <c r="C6" t="s">
        <v>52</v>
      </c>
      <c r="D6" s="49" t="s">
        <v>53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50">
        <f t="shared" si="0"/>
        <v>0</v>
      </c>
    </row>
    <row r="7" spans="2:18" x14ac:dyDescent="0.2">
      <c r="B7" s="49">
        <v>5070</v>
      </c>
      <c r="C7" t="s">
        <v>54</v>
      </c>
      <c r="D7" s="49" t="s">
        <v>55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50">
        <f t="shared" si="0"/>
        <v>0</v>
      </c>
    </row>
    <row r="8" spans="2:18" x14ac:dyDescent="0.2">
      <c r="B8" s="49">
        <v>5071</v>
      </c>
      <c r="C8" t="s">
        <v>56</v>
      </c>
      <c r="D8" s="49" t="s">
        <v>57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50">
        <f t="shared" si="0"/>
        <v>0</v>
      </c>
    </row>
    <row r="9" spans="2:18" x14ac:dyDescent="0.2">
      <c r="B9" s="49">
        <v>5090</v>
      </c>
      <c r="C9" t="s">
        <v>58</v>
      </c>
      <c r="D9" s="49" t="s">
        <v>59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50">
        <f t="shared" si="0"/>
        <v>0</v>
      </c>
    </row>
    <row r="10" spans="2:18" x14ac:dyDescent="0.2">
      <c r="B10" s="49">
        <v>5222</v>
      </c>
      <c r="C10" t="s">
        <v>60</v>
      </c>
      <c r="D10" s="49" t="s">
        <v>61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50">
        <f t="shared" si="0"/>
        <v>0</v>
      </c>
    </row>
    <row r="11" spans="2:18" x14ac:dyDescent="0.2">
      <c r="B11" s="49">
        <v>5410</v>
      </c>
      <c r="C11" t="s">
        <v>62</v>
      </c>
      <c r="D11" s="49" t="s">
        <v>63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50">
        <f t="shared" si="0"/>
        <v>0</v>
      </c>
    </row>
    <row r="12" spans="2:18" x14ac:dyDescent="0.2">
      <c r="B12" s="49">
        <v>5420</v>
      </c>
      <c r="C12" t="s">
        <v>64</v>
      </c>
      <c r="D12" s="49" t="s">
        <v>65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50">
        <f t="shared" si="0"/>
        <v>0</v>
      </c>
    </row>
    <row r="13" spans="2:18" x14ac:dyDescent="0.2">
      <c r="B13" s="49">
        <v>5440</v>
      </c>
      <c r="C13" t="s">
        <v>66</v>
      </c>
      <c r="D13" s="49" t="s">
        <v>67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0">
        <f t="shared" si="0"/>
        <v>0</v>
      </c>
    </row>
    <row r="14" spans="2:18" x14ac:dyDescent="0.2">
      <c r="B14" s="49">
        <v>5460</v>
      </c>
      <c r="C14" t="s">
        <v>68</v>
      </c>
      <c r="D14" s="49" t="s">
        <v>69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50">
        <f t="shared" si="0"/>
        <v>0</v>
      </c>
    </row>
    <row r="15" spans="2:18" x14ac:dyDescent="0.2">
      <c r="B15" s="49">
        <v>5462</v>
      </c>
      <c r="C15" t="s">
        <v>70</v>
      </c>
      <c r="D15" s="51" t="s">
        <v>71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0">
        <f t="shared" si="0"/>
        <v>0</v>
      </c>
    </row>
    <row r="16" spans="2:18" x14ac:dyDescent="0.2">
      <c r="B16" s="49">
        <v>5463</v>
      </c>
      <c r="C16" t="s">
        <v>72</v>
      </c>
      <c r="D16" s="51" t="s">
        <v>73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50">
        <f t="shared" si="0"/>
        <v>0</v>
      </c>
    </row>
    <row r="17" spans="2:20" x14ac:dyDescent="0.2">
      <c r="B17" s="49">
        <v>5464</v>
      </c>
      <c r="C17" t="s">
        <v>75</v>
      </c>
      <c r="D17" s="51" t="s">
        <v>76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50">
        <f t="shared" si="0"/>
        <v>0</v>
      </c>
    </row>
    <row r="18" spans="2:20" x14ac:dyDescent="0.2">
      <c r="B18" s="49">
        <v>5465</v>
      </c>
      <c r="C18" t="s">
        <v>77</v>
      </c>
      <c r="D18" s="51" t="s">
        <v>78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0">
        <f t="shared" si="0"/>
        <v>0</v>
      </c>
    </row>
    <row r="19" spans="2:20" x14ac:dyDescent="0.2">
      <c r="B19" s="49">
        <v>5466</v>
      </c>
      <c r="C19" t="s">
        <v>79</v>
      </c>
      <c r="D19" s="51" t="s">
        <v>80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50">
        <f t="shared" si="0"/>
        <v>0</v>
      </c>
    </row>
    <row r="20" spans="2:20" x14ac:dyDescent="0.2">
      <c r="B20" s="49">
        <v>5480</v>
      </c>
      <c r="C20" t="s">
        <v>74</v>
      </c>
      <c r="D20" s="49" t="s">
        <v>81</v>
      </c>
      <c r="F20" s="48">
        <v>3</v>
      </c>
      <c r="G20" s="48">
        <v>3</v>
      </c>
      <c r="H20" s="48">
        <v>3</v>
      </c>
      <c r="I20" s="48">
        <v>3</v>
      </c>
      <c r="J20" s="48">
        <v>3</v>
      </c>
      <c r="K20" s="48">
        <v>3</v>
      </c>
      <c r="L20" s="48">
        <v>3</v>
      </c>
      <c r="M20" s="48">
        <v>3</v>
      </c>
      <c r="N20" s="48">
        <v>3</v>
      </c>
      <c r="O20" s="48">
        <v>3</v>
      </c>
      <c r="P20" s="48">
        <v>3</v>
      </c>
      <c r="Q20" s="48">
        <v>3</v>
      </c>
      <c r="R20" s="50">
        <f t="shared" si="0"/>
        <v>36</v>
      </c>
    </row>
    <row r="21" spans="2:20" x14ac:dyDescent="0.2">
      <c r="B21" s="49">
        <v>5500</v>
      </c>
      <c r="C21" t="s">
        <v>82</v>
      </c>
      <c r="D21" s="49" t="s">
        <v>83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50">
        <f t="shared" si="0"/>
        <v>0</v>
      </c>
    </row>
    <row r="22" spans="2:20" x14ac:dyDescent="0.2">
      <c r="B22" s="49">
        <v>5611</v>
      </c>
      <c r="C22" t="s">
        <v>84</v>
      </c>
      <c r="D22" s="49" t="s">
        <v>85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50">
        <f t="shared" si="0"/>
        <v>0</v>
      </c>
    </row>
    <row r="23" spans="2:20" x14ac:dyDescent="0.2">
      <c r="B23" s="49">
        <v>5612</v>
      </c>
      <c r="C23" t="s">
        <v>86</v>
      </c>
      <c r="D23" s="49" t="s">
        <v>87</v>
      </c>
      <c r="F23" s="48">
        <v>2</v>
      </c>
      <c r="G23" s="48">
        <v>2</v>
      </c>
      <c r="H23" s="48">
        <v>2</v>
      </c>
      <c r="I23" s="48">
        <v>2</v>
      </c>
      <c r="J23" s="48">
        <v>2</v>
      </c>
      <c r="K23" s="48">
        <v>2</v>
      </c>
      <c r="L23" s="48">
        <v>2</v>
      </c>
      <c r="M23" s="48">
        <v>2</v>
      </c>
      <c r="N23" s="48">
        <v>2</v>
      </c>
      <c r="O23" s="48">
        <v>2</v>
      </c>
      <c r="P23" s="48">
        <v>2</v>
      </c>
      <c r="Q23" s="48">
        <v>2</v>
      </c>
      <c r="R23" s="50">
        <f t="shared" si="0"/>
        <v>24</v>
      </c>
    </row>
    <row r="24" spans="2:20" x14ac:dyDescent="0.2">
      <c r="B24" s="49">
        <v>5613</v>
      </c>
      <c r="C24" t="s">
        <v>88</v>
      </c>
      <c r="D24" s="49" t="s">
        <v>89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50">
        <f t="shared" si="0"/>
        <v>0</v>
      </c>
    </row>
    <row r="25" spans="2:20" x14ac:dyDescent="0.2">
      <c r="B25" s="49">
        <v>5615</v>
      </c>
      <c r="C25" t="s">
        <v>90</v>
      </c>
      <c r="D25" s="49" t="s">
        <v>91</v>
      </c>
      <c r="F25" s="48">
        <v>11</v>
      </c>
      <c r="G25" s="48">
        <v>11</v>
      </c>
      <c r="H25" s="48">
        <v>11</v>
      </c>
      <c r="I25" s="48">
        <v>11</v>
      </c>
      <c r="J25" s="48">
        <v>11</v>
      </c>
      <c r="K25" s="48">
        <v>11</v>
      </c>
      <c r="L25" s="48">
        <v>11</v>
      </c>
      <c r="M25" s="48">
        <v>11</v>
      </c>
      <c r="N25" s="48">
        <v>11</v>
      </c>
      <c r="O25" s="48">
        <v>11</v>
      </c>
      <c r="P25" s="48">
        <v>11</v>
      </c>
      <c r="Q25" s="48">
        <v>11</v>
      </c>
      <c r="R25" s="50">
        <f t="shared" si="0"/>
        <v>132</v>
      </c>
    </row>
    <row r="26" spans="2:20" x14ac:dyDescent="0.2">
      <c r="B26" s="49">
        <v>5616</v>
      </c>
      <c r="C26" t="s">
        <v>92</v>
      </c>
      <c r="D26" s="49" t="s">
        <v>93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50">
        <f t="shared" si="0"/>
        <v>0</v>
      </c>
    </row>
    <row r="27" spans="2:20" x14ac:dyDescent="0.2">
      <c r="B27" s="49">
        <v>5619</v>
      </c>
      <c r="C27" t="s">
        <v>94</v>
      </c>
      <c r="D27" s="49" t="s">
        <v>95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50">
        <f t="shared" si="0"/>
        <v>0</v>
      </c>
    </row>
    <row r="28" spans="2:20" x14ac:dyDescent="0.2">
      <c r="B28" s="49">
        <v>5720</v>
      </c>
      <c r="C28" t="s">
        <v>96</v>
      </c>
      <c r="D28" s="49" t="s">
        <v>97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50">
        <f t="shared" si="0"/>
        <v>0</v>
      </c>
    </row>
    <row r="29" spans="2:20" x14ac:dyDescent="0.2">
      <c r="B29" s="49">
        <v>5831</v>
      </c>
      <c r="C29" t="s">
        <v>98</v>
      </c>
      <c r="D29" s="49" t="s">
        <v>99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50">
        <f t="shared" si="0"/>
        <v>0</v>
      </c>
    </row>
    <row r="30" spans="2:20" x14ac:dyDescent="0.2">
      <c r="B30" s="49">
        <v>5832</v>
      </c>
      <c r="C30" t="s">
        <v>100</v>
      </c>
      <c r="D30" s="49" t="s">
        <v>101</v>
      </c>
      <c r="F30" s="48">
        <v>25</v>
      </c>
      <c r="G30" s="48">
        <v>25</v>
      </c>
      <c r="H30" s="48">
        <v>25</v>
      </c>
      <c r="I30" s="48">
        <v>25</v>
      </c>
      <c r="J30" s="48">
        <v>25</v>
      </c>
      <c r="K30" s="48">
        <v>25</v>
      </c>
      <c r="L30" s="48">
        <v>25</v>
      </c>
      <c r="M30" s="48">
        <v>25</v>
      </c>
      <c r="N30" s="48">
        <v>25</v>
      </c>
      <c r="O30" s="48">
        <v>25</v>
      </c>
      <c r="P30" s="48">
        <v>25</v>
      </c>
      <c r="Q30" s="48">
        <v>25</v>
      </c>
      <c r="R30" s="50">
        <f t="shared" si="0"/>
        <v>300</v>
      </c>
      <c r="T30" t="s">
        <v>102</v>
      </c>
    </row>
    <row r="31" spans="2:20" x14ac:dyDescent="0.2">
      <c r="B31" s="49">
        <v>5890</v>
      </c>
      <c r="C31" t="s">
        <v>103</v>
      </c>
      <c r="D31" s="49" t="s">
        <v>104</v>
      </c>
      <c r="F31" s="48">
        <v>25</v>
      </c>
      <c r="G31" s="48">
        <v>25</v>
      </c>
      <c r="H31" s="48">
        <v>25</v>
      </c>
      <c r="I31" s="48">
        <v>25</v>
      </c>
      <c r="J31" s="48">
        <v>25</v>
      </c>
      <c r="K31" s="48">
        <v>25</v>
      </c>
      <c r="L31" s="48">
        <v>25</v>
      </c>
      <c r="M31" s="48">
        <v>25</v>
      </c>
      <c r="N31" s="48">
        <v>25</v>
      </c>
      <c r="O31" s="48">
        <v>25</v>
      </c>
      <c r="P31" s="48">
        <v>25</v>
      </c>
      <c r="Q31" s="48">
        <v>25</v>
      </c>
      <c r="R31" s="50">
        <f t="shared" si="0"/>
        <v>300</v>
      </c>
      <c r="T31" t="s">
        <v>105</v>
      </c>
    </row>
    <row r="32" spans="2:20" x14ac:dyDescent="0.2">
      <c r="B32" s="49">
        <v>5891</v>
      </c>
      <c r="C32" t="s">
        <v>106</v>
      </c>
      <c r="D32" s="51" t="s">
        <v>107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50">
        <f t="shared" si="0"/>
        <v>0</v>
      </c>
    </row>
    <row r="33" spans="2:20" x14ac:dyDescent="0.2">
      <c r="B33" s="49">
        <v>5892</v>
      </c>
      <c r="C33" t="s">
        <v>108</v>
      </c>
      <c r="D33" s="51" t="s">
        <v>109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50">
        <f t="shared" si="0"/>
        <v>0</v>
      </c>
    </row>
    <row r="34" spans="2:20" x14ac:dyDescent="0.2">
      <c r="B34" s="49">
        <v>5900</v>
      </c>
      <c r="C34" t="s">
        <v>110</v>
      </c>
      <c r="D34" s="49" t="s">
        <v>111</v>
      </c>
      <c r="F34" s="52">
        <f>250/12</f>
        <v>20.833333333333332</v>
      </c>
      <c r="G34" s="52">
        <f t="shared" ref="G34:P34" si="1">250/12</f>
        <v>20.833333333333332</v>
      </c>
      <c r="H34" s="52">
        <f t="shared" si="1"/>
        <v>20.833333333333332</v>
      </c>
      <c r="I34" s="52">
        <f t="shared" si="1"/>
        <v>20.833333333333332</v>
      </c>
      <c r="J34" s="52">
        <f t="shared" si="1"/>
        <v>20.833333333333332</v>
      </c>
      <c r="K34" s="52">
        <f t="shared" si="1"/>
        <v>20.833333333333332</v>
      </c>
      <c r="L34" s="52">
        <f t="shared" si="1"/>
        <v>20.833333333333332</v>
      </c>
      <c r="M34" s="52">
        <f t="shared" si="1"/>
        <v>20.833333333333332</v>
      </c>
      <c r="N34" s="52">
        <f t="shared" si="1"/>
        <v>20.833333333333332</v>
      </c>
      <c r="O34" s="52">
        <f t="shared" si="1"/>
        <v>20.833333333333332</v>
      </c>
      <c r="P34" s="52">
        <f t="shared" si="1"/>
        <v>20.833333333333332</v>
      </c>
      <c r="Q34" s="52">
        <f>250/12</f>
        <v>20.833333333333332</v>
      </c>
      <c r="R34" s="50">
        <f t="shared" si="0"/>
        <v>250.00000000000003</v>
      </c>
      <c r="T34" t="s">
        <v>102</v>
      </c>
    </row>
    <row r="35" spans="2:20" x14ac:dyDescent="0.2">
      <c r="B35" s="49">
        <v>5930</v>
      </c>
      <c r="C35" t="s">
        <v>112</v>
      </c>
      <c r="D35" s="49" t="s">
        <v>113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0">
        <f>SUM(F35:Q35)</f>
        <v>0</v>
      </c>
    </row>
    <row r="36" spans="2:20" x14ac:dyDescent="0.2">
      <c r="B36" s="49">
        <v>5940</v>
      </c>
      <c r="C36" t="s">
        <v>114</v>
      </c>
      <c r="D36" s="49" t="s">
        <v>115</v>
      </c>
      <c r="F36" s="52">
        <f>60/12</f>
        <v>5</v>
      </c>
      <c r="G36" s="52">
        <f t="shared" ref="G36:Q36" si="2">60/12</f>
        <v>5</v>
      </c>
      <c r="H36" s="52">
        <f t="shared" si="2"/>
        <v>5</v>
      </c>
      <c r="I36" s="52">
        <f t="shared" si="2"/>
        <v>5</v>
      </c>
      <c r="J36" s="52">
        <f t="shared" si="2"/>
        <v>5</v>
      </c>
      <c r="K36" s="52">
        <f t="shared" si="2"/>
        <v>5</v>
      </c>
      <c r="L36" s="52">
        <f t="shared" si="2"/>
        <v>5</v>
      </c>
      <c r="M36" s="52">
        <f t="shared" si="2"/>
        <v>5</v>
      </c>
      <c r="N36" s="52">
        <f t="shared" si="2"/>
        <v>5</v>
      </c>
      <c r="O36" s="52">
        <f t="shared" si="2"/>
        <v>5</v>
      </c>
      <c r="P36" s="52">
        <f t="shared" si="2"/>
        <v>5</v>
      </c>
      <c r="Q36" s="52">
        <f t="shared" si="2"/>
        <v>5</v>
      </c>
      <c r="R36" s="50">
        <f t="shared" si="0"/>
        <v>60</v>
      </c>
      <c r="T36" t="s">
        <v>102</v>
      </c>
    </row>
    <row r="37" spans="2:20" x14ac:dyDescent="0.2">
      <c r="B37" s="49">
        <v>5941</v>
      </c>
      <c r="C37" t="s">
        <v>116</v>
      </c>
      <c r="D37" s="49" t="s">
        <v>117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0">
        <f t="shared" si="0"/>
        <v>0</v>
      </c>
    </row>
    <row r="38" spans="2:20" x14ac:dyDescent="0.2">
      <c r="B38" s="49">
        <v>5970</v>
      </c>
      <c r="C38" t="s">
        <v>118</v>
      </c>
      <c r="D38" s="49" t="s">
        <v>119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0">
        <f t="shared" si="0"/>
        <v>0</v>
      </c>
    </row>
    <row r="39" spans="2:20" x14ac:dyDescent="0.2">
      <c r="B39" s="49">
        <v>5980</v>
      </c>
      <c r="C39" t="s">
        <v>120</v>
      </c>
      <c r="D39" s="49" t="s">
        <v>121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0">
        <f t="shared" si="0"/>
        <v>0</v>
      </c>
    </row>
    <row r="40" spans="2:20" x14ac:dyDescent="0.2">
      <c r="B40" s="49">
        <v>5990</v>
      </c>
      <c r="C40" t="s">
        <v>122</v>
      </c>
      <c r="D40" s="49" t="s">
        <v>123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0">
        <f t="shared" si="0"/>
        <v>0</v>
      </c>
    </row>
    <row r="41" spans="2:20" x14ac:dyDescent="0.2">
      <c r="B41" s="49">
        <v>6071</v>
      </c>
      <c r="C41" t="s">
        <v>124</v>
      </c>
      <c r="D41" s="49" t="s">
        <v>125</v>
      </c>
      <c r="F41" s="52">
        <f>150/12+6</f>
        <v>18.5</v>
      </c>
      <c r="G41" s="52">
        <f t="shared" ref="G41:Q41" si="3">150/12+6</f>
        <v>18.5</v>
      </c>
      <c r="H41" s="52">
        <f t="shared" si="3"/>
        <v>18.5</v>
      </c>
      <c r="I41" s="52">
        <f t="shared" si="3"/>
        <v>18.5</v>
      </c>
      <c r="J41" s="52">
        <f t="shared" si="3"/>
        <v>18.5</v>
      </c>
      <c r="K41" s="52">
        <f t="shared" si="3"/>
        <v>18.5</v>
      </c>
      <c r="L41" s="52">
        <f t="shared" si="3"/>
        <v>18.5</v>
      </c>
      <c r="M41" s="52">
        <f t="shared" si="3"/>
        <v>18.5</v>
      </c>
      <c r="N41" s="52">
        <f t="shared" si="3"/>
        <v>18.5</v>
      </c>
      <c r="O41" s="52">
        <f t="shared" si="3"/>
        <v>18.5</v>
      </c>
      <c r="P41" s="52">
        <f t="shared" si="3"/>
        <v>18.5</v>
      </c>
      <c r="Q41" s="52">
        <f t="shared" si="3"/>
        <v>18.5</v>
      </c>
      <c r="R41" s="50">
        <f t="shared" si="0"/>
        <v>222</v>
      </c>
      <c r="T41" t="s">
        <v>126</v>
      </c>
    </row>
    <row r="42" spans="2:20" x14ac:dyDescent="0.2">
      <c r="B42" s="49">
        <v>6072</v>
      </c>
      <c r="C42" t="s">
        <v>127</v>
      </c>
      <c r="D42" s="49" t="s">
        <v>128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0">
        <f t="shared" si="0"/>
        <v>0</v>
      </c>
    </row>
    <row r="43" spans="2:20" x14ac:dyDescent="0.2">
      <c r="B43" s="49">
        <v>6090</v>
      </c>
      <c r="C43" t="s">
        <v>129</v>
      </c>
      <c r="D43" s="49" t="s">
        <v>130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50">
        <f t="shared" si="0"/>
        <v>0</v>
      </c>
      <c r="T43">
        <f>SUM(R32:R41)/'[1]RR BU Koncern legal IC UVXair'!BH8</f>
        <v>6.6624372672922129E-3</v>
      </c>
    </row>
    <row r="44" spans="2:20" x14ac:dyDescent="0.2">
      <c r="B44" s="49">
        <v>6091</v>
      </c>
      <c r="C44" t="s">
        <v>131</v>
      </c>
      <c r="D44" s="51" t="s">
        <v>132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50">
        <f t="shared" si="0"/>
        <v>0</v>
      </c>
    </row>
    <row r="45" spans="2:20" x14ac:dyDescent="0.2">
      <c r="B45" s="49">
        <v>6092</v>
      </c>
      <c r="C45" t="s">
        <v>133</v>
      </c>
      <c r="D45" s="51" t="s">
        <v>134</v>
      </c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50">
        <f t="shared" si="0"/>
        <v>0</v>
      </c>
    </row>
    <row r="46" spans="2:20" x14ac:dyDescent="0.2">
      <c r="B46" s="49">
        <v>6093</v>
      </c>
      <c r="C46" t="s">
        <v>135</v>
      </c>
      <c r="D46" s="51" t="s">
        <v>136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50">
        <f t="shared" si="0"/>
        <v>0</v>
      </c>
    </row>
    <row r="47" spans="2:20" x14ac:dyDescent="0.2">
      <c r="B47" s="49">
        <v>6110</v>
      </c>
      <c r="C47" t="s">
        <v>138</v>
      </c>
      <c r="D47" s="49" t="s">
        <v>139</v>
      </c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50">
        <f t="shared" si="0"/>
        <v>0</v>
      </c>
    </row>
    <row r="48" spans="2:20" x14ac:dyDescent="0.2">
      <c r="B48" s="49">
        <v>6211</v>
      </c>
      <c r="C48" t="s">
        <v>140</v>
      </c>
      <c r="D48" s="49" t="s">
        <v>141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50">
        <f t="shared" si="0"/>
        <v>0</v>
      </c>
    </row>
    <row r="49" spans="2:18" x14ac:dyDescent="0.2">
      <c r="B49" s="49">
        <v>6212</v>
      </c>
      <c r="C49" t="s">
        <v>142</v>
      </c>
      <c r="D49" s="49" t="s">
        <v>143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50">
        <f t="shared" si="0"/>
        <v>0</v>
      </c>
    </row>
    <row r="50" spans="2:18" x14ac:dyDescent="0.2">
      <c r="B50" s="49">
        <v>6213</v>
      </c>
      <c r="C50" t="s">
        <v>144</v>
      </c>
      <c r="D50" s="49" t="s">
        <v>145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50">
        <f t="shared" si="0"/>
        <v>0</v>
      </c>
    </row>
    <row r="51" spans="2:18" x14ac:dyDescent="0.2">
      <c r="B51" s="49">
        <v>6230</v>
      </c>
      <c r="C51" t="s">
        <v>147</v>
      </c>
      <c r="D51" s="49" t="s">
        <v>148</v>
      </c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50">
        <f t="shared" si="0"/>
        <v>0</v>
      </c>
    </row>
    <row r="52" spans="2:18" x14ac:dyDescent="0.2">
      <c r="B52" s="49">
        <v>6250</v>
      </c>
      <c r="C52" t="s">
        <v>149</v>
      </c>
      <c r="D52" s="49" t="s">
        <v>150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50">
        <f t="shared" si="0"/>
        <v>0</v>
      </c>
    </row>
    <row r="53" spans="2:18" x14ac:dyDescent="0.2">
      <c r="B53" s="49">
        <v>6310</v>
      </c>
      <c r="C53" t="s">
        <v>151</v>
      </c>
      <c r="D53" s="49" t="s">
        <v>152</v>
      </c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50">
        <f t="shared" si="0"/>
        <v>0</v>
      </c>
    </row>
    <row r="54" spans="2:18" x14ac:dyDescent="0.2">
      <c r="B54" s="49">
        <v>6351</v>
      </c>
      <c r="C54" t="s">
        <v>153</v>
      </c>
      <c r="D54" s="49" t="s">
        <v>154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50">
        <f t="shared" si="0"/>
        <v>0</v>
      </c>
    </row>
    <row r="55" spans="2:18" x14ac:dyDescent="0.2">
      <c r="B55" s="49">
        <v>6370</v>
      </c>
      <c r="C55" t="s">
        <v>155</v>
      </c>
      <c r="D55" s="49" t="s">
        <v>156</v>
      </c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50">
        <f t="shared" si="0"/>
        <v>0</v>
      </c>
    </row>
    <row r="56" spans="2:18" x14ac:dyDescent="0.2">
      <c r="B56" s="49">
        <v>6420</v>
      </c>
      <c r="C56" t="s">
        <v>157</v>
      </c>
      <c r="D56" s="49" t="s">
        <v>158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50">
        <f t="shared" si="0"/>
        <v>0</v>
      </c>
    </row>
    <row r="57" spans="2:18" x14ac:dyDescent="0.2">
      <c r="B57" s="49">
        <v>6430</v>
      </c>
      <c r="C57" t="s">
        <v>160</v>
      </c>
      <c r="D57" s="49" t="s">
        <v>161</v>
      </c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50">
        <f t="shared" si="0"/>
        <v>0</v>
      </c>
    </row>
    <row r="58" spans="2:18" x14ac:dyDescent="0.2">
      <c r="B58" s="49">
        <v>6530</v>
      </c>
      <c r="C58" t="s">
        <v>162</v>
      </c>
      <c r="D58" s="49" t="s">
        <v>163</v>
      </c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50">
        <f t="shared" si="0"/>
        <v>0</v>
      </c>
    </row>
    <row r="59" spans="2:18" x14ac:dyDescent="0.2">
      <c r="B59" s="49">
        <v>6540</v>
      </c>
      <c r="C59" t="s">
        <v>137</v>
      </c>
      <c r="D59" s="49" t="s">
        <v>164</v>
      </c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50">
        <f t="shared" si="0"/>
        <v>0</v>
      </c>
    </row>
    <row r="60" spans="2:18" x14ac:dyDescent="0.2">
      <c r="B60" s="49">
        <v>6550</v>
      </c>
      <c r="C60" t="s">
        <v>165</v>
      </c>
      <c r="D60" s="49" t="s">
        <v>166</v>
      </c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50">
        <f t="shared" si="0"/>
        <v>0</v>
      </c>
    </row>
    <row r="61" spans="2:18" x14ac:dyDescent="0.2">
      <c r="B61" s="49">
        <v>6560</v>
      </c>
      <c r="C61" t="s">
        <v>167</v>
      </c>
      <c r="D61" s="49" t="s">
        <v>168</v>
      </c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50">
        <f t="shared" si="0"/>
        <v>0</v>
      </c>
    </row>
    <row r="62" spans="2:18" x14ac:dyDescent="0.2">
      <c r="B62" s="49">
        <v>6570</v>
      </c>
      <c r="C62" t="s">
        <v>169</v>
      </c>
      <c r="D62" s="49" t="s">
        <v>170</v>
      </c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50">
        <f t="shared" si="0"/>
        <v>0</v>
      </c>
    </row>
    <row r="63" spans="2:18" x14ac:dyDescent="0.2">
      <c r="B63" s="49">
        <v>6580</v>
      </c>
      <c r="C63" t="s">
        <v>172</v>
      </c>
      <c r="D63" s="49" t="s">
        <v>173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50">
        <f t="shared" si="0"/>
        <v>0</v>
      </c>
    </row>
    <row r="64" spans="2:18" x14ac:dyDescent="0.2">
      <c r="B64" s="49">
        <v>6590</v>
      </c>
      <c r="C64" t="s">
        <v>174</v>
      </c>
      <c r="D64" s="49" t="s">
        <v>175</v>
      </c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50">
        <f t="shared" si="0"/>
        <v>0</v>
      </c>
    </row>
    <row r="65" spans="2:18" x14ac:dyDescent="0.2">
      <c r="B65" s="49">
        <v>6920</v>
      </c>
      <c r="C65" t="s">
        <v>176</v>
      </c>
      <c r="D65" s="49" t="s">
        <v>177</v>
      </c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50">
        <f t="shared" si="0"/>
        <v>0</v>
      </c>
    </row>
    <row r="66" spans="2:18" x14ac:dyDescent="0.2">
      <c r="B66" s="49">
        <v>6940</v>
      </c>
      <c r="C66" t="s">
        <v>179</v>
      </c>
      <c r="D66" s="49" t="s">
        <v>180</v>
      </c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50">
        <f t="shared" si="0"/>
        <v>0</v>
      </c>
    </row>
    <row r="67" spans="2:18" x14ac:dyDescent="0.2">
      <c r="B67" s="49">
        <v>6950</v>
      </c>
      <c r="C67" t="s">
        <v>181</v>
      </c>
      <c r="D67" s="49" t="str">
        <f>B67 &amp; C67</f>
        <v>6950Tillsynsavgifter till myndigheter</v>
      </c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50">
        <f t="shared" ref="R67:R105" si="4">SUM(F67:Q67)</f>
        <v>0</v>
      </c>
    </row>
    <row r="68" spans="2:18" x14ac:dyDescent="0.2">
      <c r="B68" s="49">
        <v>6970</v>
      </c>
      <c r="C68" t="s">
        <v>182</v>
      </c>
      <c r="D68" s="49" t="s">
        <v>183</v>
      </c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50">
        <f t="shared" si="4"/>
        <v>0</v>
      </c>
    </row>
    <row r="69" spans="2:18" x14ac:dyDescent="0.2">
      <c r="B69" s="49">
        <v>6981</v>
      </c>
      <c r="C69" t="s">
        <v>185</v>
      </c>
      <c r="D69" s="49" t="s">
        <v>186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50">
        <f t="shared" si="4"/>
        <v>0</v>
      </c>
    </row>
    <row r="70" spans="2:18" x14ac:dyDescent="0.2">
      <c r="B70" s="49">
        <v>6982</v>
      </c>
      <c r="C70" t="s">
        <v>187</v>
      </c>
      <c r="D70" s="49" t="s">
        <v>188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50">
        <f t="shared" si="4"/>
        <v>0</v>
      </c>
    </row>
    <row r="71" spans="2:18" x14ac:dyDescent="0.2">
      <c r="B71" s="49">
        <v>6991</v>
      </c>
      <c r="C71" t="s">
        <v>146</v>
      </c>
      <c r="D71" s="49" t="s">
        <v>189</v>
      </c>
      <c r="F71" s="48">
        <f>25/12</f>
        <v>2.0833333333333335</v>
      </c>
      <c r="G71" s="48">
        <f t="shared" ref="G71:Q71" si="5">25/12</f>
        <v>2.0833333333333335</v>
      </c>
      <c r="H71" s="48">
        <f t="shared" si="5"/>
        <v>2.0833333333333335</v>
      </c>
      <c r="I71" s="48">
        <f t="shared" si="5"/>
        <v>2.0833333333333335</v>
      </c>
      <c r="J71" s="48">
        <f t="shared" si="5"/>
        <v>2.0833333333333335</v>
      </c>
      <c r="K71" s="48">
        <f t="shared" si="5"/>
        <v>2.0833333333333335</v>
      </c>
      <c r="L71" s="48">
        <f t="shared" si="5"/>
        <v>2.0833333333333335</v>
      </c>
      <c r="M71" s="48">
        <f t="shared" si="5"/>
        <v>2.0833333333333335</v>
      </c>
      <c r="N71" s="48">
        <f t="shared" si="5"/>
        <v>2.0833333333333335</v>
      </c>
      <c r="O71" s="48">
        <f t="shared" si="5"/>
        <v>2.0833333333333335</v>
      </c>
      <c r="P71" s="48">
        <f t="shared" si="5"/>
        <v>2.0833333333333335</v>
      </c>
      <c r="Q71" s="48">
        <f t="shared" si="5"/>
        <v>2.0833333333333335</v>
      </c>
      <c r="R71" s="50">
        <f>SUM(F71:Q71)</f>
        <v>24.999999999999996</v>
      </c>
    </row>
    <row r="72" spans="2:18" x14ac:dyDescent="0.2">
      <c r="B72" s="49">
        <v>6992</v>
      </c>
      <c r="C72" t="s">
        <v>190</v>
      </c>
      <c r="D72" s="49" t="s">
        <v>191</v>
      </c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50">
        <f>SUM(F72:Q72)</f>
        <v>0</v>
      </c>
    </row>
    <row r="73" spans="2:18" x14ac:dyDescent="0.2">
      <c r="B73" s="49">
        <v>7010</v>
      </c>
      <c r="C73" t="s">
        <v>192</v>
      </c>
      <c r="D73" s="49" t="s">
        <v>193</v>
      </c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50">
        <f t="shared" si="4"/>
        <v>0</v>
      </c>
    </row>
    <row r="74" spans="2:18" x14ac:dyDescent="0.2">
      <c r="B74" s="49">
        <v>7019</v>
      </c>
      <c r="C74" t="s">
        <v>194</v>
      </c>
      <c r="D74" s="49" t="s">
        <v>195</v>
      </c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50">
        <f t="shared" si="4"/>
        <v>0</v>
      </c>
    </row>
    <row r="75" spans="2:18" x14ac:dyDescent="0.2">
      <c r="B75" s="49">
        <v>7090</v>
      </c>
      <c r="C75" t="s">
        <v>171</v>
      </c>
      <c r="D75" s="49" t="s">
        <v>196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50">
        <f t="shared" si="4"/>
        <v>0</v>
      </c>
    </row>
    <row r="76" spans="2:18" x14ac:dyDescent="0.2">
      <c r="B76" s="49">
        <v>7210</v>
      </c>
      <c r="C76" t="s">
        <v>197</v>
      </c>
      <c r="D76" s="49" t="s">
        <v>198</v>
      </c>
      <c r="F76" s="48">
        <f>84.3+34</f>
        <v>118.3</v>
      </c>
      <c r="G76" s="48">
        <f t="shared" ref="G76:Q76" si="6">84.3+34</f>
        <v>118.3</v>
      </c>
      <c r="H76" s="48">
        <f t="shared" si="6"/>
        <v>118.3</v>
      </c>
      <c r="I76" s="48">
        <f t="shared" si="6"/>
        <v>118.3</v>
      </c>
      <c r="J76" s="48">
        <f t="shared" si="6"/>
        <v>118.3</v>
      </c>
      <c r="K76" s="48">
        <f t="shared" si="6"/>
        <v>118.3</v>
      </c>
      <c r="L76" s="48">
        <f t="shared" si="6"/>
        <v>118.3</v>
      </c>
      <c r="M76" s="48">
        <f t="shared" si="6"/>
        <v>118.3</v>
      </c>
      <c r="N76" s="48">
        <f t="shared" si="6"/>
        <v>118.3</v>
      </c>
      <c r="O76" s="48">
        <f t="shared" si="6"/>
        <v>118.3</v>
      </c>
      <c r="P76" s="48">
        <f t="shared" si="6"/>
        <v>118.3</v>
      </c>
      <c r="Q76" s="48">
        <f t="shared" si="6"/>
        <v>118.3</v>
      </c>
      <c r="R76" s="50">
        <f t="shared" si="4"/>
        <v>1419.5999999999997</v>
      </c>
    </row>
    <row r="77" spans="2:18" x14ac:dyDescent="0.2">
      <c r="B77" s="49">
        <v>7220</v>
      </c>
      <c r="C77" t="s">
        <v>159</v>
      </c>
      <c r="D77" s="49" t="s">
        <v>199</v>
      </c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50">
        <f t="shared" si="4"/>
        <v>0</v>
      </c>
    </row>
    <row r="78" spans="2:18" x14ac:dyDescent="0.2">
      <c r="B78" s="49">
        <v>7280</v>
      </c>
      <c r="C78" t="s">
        <v>200</v>
      </c>
      <c r="D78" s="49" t="s">
        <v>201</v>
      </c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50">
        <f t="shared" si="4"/>
        <v>0</v>
      </c>
    </row>
    <row r="79" spans="2:18" x14ac:dyDescent="0.2">
      <c r="B79" s="49">
        <v>7282</v>
      </c>
      <c r="C79" t="s">
        <v>202</v>
      </c>
      <c r="D79" s="49" t="s">
        <v>203</v>
      </c>
      <c r="F79" s="48">
        <f>F76*0.008</f>
        <v>0.94640000000000002</v>
      </c>
      <c r="G79" s="48">
        <f t="shared" ref="G79:Q79" si="7">G76*0.008</f>
        <v>0.94640000000000002</v>
      </c>
      <c r="H79" s="48">
        <f t="shared" si="7"/>
        <v>0.94640000000000002</v>
      </c>
      <c r="I79" s="48">
        <f t="shared" si="7"/>
        <v>0.94640000000000002</v>
      </c>
      <c r="J79" s="48">
        <f t="shared" si="7"/>
        <v>0.94640000000000002</v>
      </c>
      <c r="K79" s="48">
        <f t="shared" si="7"/>
        <v>0.94640000000000002</v>
      </c>
      <c r="L79" s="48">
        <f t="shared" si="7"/>
        <v>0.94640000000000002</v>
      </c>
      <c r="M79" s="48">
        <f t="shared" si="7"/>
        <v>0.94640000000000002</v>
      </c>
      <c r="N79" s="48">
        <f t="shared" si="7"/>
        <v>0.94640000000000002</v>
      </c>
      <c r="O79" s="48">
        <f t="shared" si="7"/>
        <v>0.94640000000000002</v>
      </c>
      <c r="P79" s="48">
        <f t="shared" si="7"/>
        <v>0.94640000000000002</v>
      </c>
      <c r="Q79" s="48">
        <f t="shared" si="7"/>
        <v>0.94640000000000002</v>
      </c>
      <c r="R79" s="50">
        <f t="shared" si="4"/>
        <v>11.356800000000002</v>
      </c>
    </row>
    <row r="80" spans="2:18" x14ac:dyDescent="0.2">
      <c r="B80" s="49">
        <v>7290</v>
      </c>
      <c r="C80" t="s">
        <v>171</v>
      </c>
      <c r="D80" s="49" t="s">
        <v>204</v>
      </c>
      <c r="F80" s="48">
        <f>F76*0.12</f>
        <v>14.196</v>
      </c>
      <c r="G80" s="48">
        <f t="shared" ref="G80:Q80" si="8">G76*0.12</f>
        <v>14.196</v>
      </c>
      <c r="H80" s="48">
        <f t="shared" si="8"/>
        <v>14.196</v>
      </c>
      <c r="I80" s="48">
        <f t="shared" si="8"/>
        <v>14.196</v>
      </c>
      <c r="J80" s="48">
        <f t="shared" si="8"/>
        <v>14.196</v>
      </c>
      <c r="K80" s="48">
        <f t="shared" si="8"/>
        <v>14.196</v>
      </c>
      <c r="L80" s="48">
        <f>-L76</f>
        <v>-118.3</v>
      </c>
      <c r="M80" s="48">
        <f t="shared" si="8"/>
        <v>14.196</v>
      </c>
      <c r="N80" s="48">
        <f t="shared" si="8"/>
        <v>14.196</v>
      </c>
      <c r="O80" s="48">
        <f t="shared" si="8"/>
        <v>14.196</v>
      </c>
      <c r="P80" s="48">
        <f t="shared" si="8"/>
        <v>14.196</v>
      </c>
      <c r="Q80" s="48">
        <f t="shared" si="8"/>
        <v>14.196</v>
      </c>
      <c r="R80" s="50">
        <f t="shared" si="4"/>
        <v>37.856000000000002</v>
      </c>
    </row>
    <row r="81" spans="2:18" x14ac:dyDescent="0.2">
      <c r="B81" s="49">
        <v>7300</v>
      </c>
      <c r="C81" t="s">
        <v>206</v>
      </c>
      <c r="D81" s="49" t="s">
        <v>207</v>
      </c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50">
        <f t="shared" si="4"/>
        <v>0</v>
      </c>
    </row>
    <row r="82" spans="2:18" x14ac:dyDescent="0.2">
      <c r="B82" s="49">
        <v>7321</v>
      </c>
      <c r="C82" t="s">
        <v>178</v>
      </c>
      <c r="D82" s="49" t="s">
        <v>208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50">
        <f t="shared" si="4"/>
        <v>0</v>
      </c>
    </row>
    <row r="83" spans="2:18" x14ac:dyDescent="0.2">
      <c r="B83" s="49">
        <v>7323</v>
      </c>
      <c r="C83" t="s">
        <v>184</v>
      </c>
      <c r="D83" s="49" t="s">
        <v>209</v>
      </c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50">
        <f t="shared" si="4"/>
        <v>0</v>
      </c>
    </row>
    <row r="84" spans="2:18" x14ac:dyDescent="0.2">
      <c r="B84" s="49">
        <v>7331</v>
      </c>
      <c r="C84" t="s">
        <v>210</v>
      </c>
      <c r="D84" s="49" t="s">
        <v>211</v>
      </c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50">
        <f t="shared" si="4"/>
        <v>0</v>
      </c>
    </row>
    <row r="85" spans="2:18" x14ac:dyDescent="0.2">
      <c r="B85" s="49">
        <v>7332</v>
      </c>
      <c r="C85" t="s">
        <v>212</v>
      </c>
      <c r="D85" s="49" t="s">
        <v>213</v>
      </c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50">
        <f t="shared" si="4"/>
        <v>0</v>
      </c>
    </row>
    <row r="86" spans="2:18" x14ac:dyDescent="0.2">
      <c r="B86" s="49">
        <v>7380</v>
      </c>
      <c r="C86" t="s">
        <v>214</v>
      </c>
      <c r="D86" s="49" t="s">
        <v>215</v>
      </c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50">
        <f t="shared" si="4"/>
        <v>0</v>
      </c>
    </row>
    <row r="87" spans="2:18" x14ac:dyDescent="0.2">
      <c r="B87" s="49">
        <v>7381</v>
      </c>
      <c r="C87" t="s">
        <v>216</v>
      </c>
      <c r="D87" s="49" t="s">
        <v>217</v>
      </c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50">
        <f>SUM(F87:Q87)</f>
        <v>0</v>
      </c>
    </row>
    <row r="88" spans="2:18" x14ac:dyDescent="0.2">
      <c r="B88" s="49">
        <v>7385</v>
      </c>
      <c r="C88" t="s">
        <v>218</v>
      </c>
      <c r="D88" s="49" t="s">
        <v>219</v>
      </c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50">
        <f t="shared" si="4"/>
        <v>0</v>
      </c>
    </row>
    <row r="89" spans="2:18" x14ac:dyDescent="0.2">
      <c r="B89" s="49">
        <v>7399</v>
      </c>
      <c r="C89" t="s">
        <v>220</v>
      </c>
      <c r="D89" s="49" t="s">
        <v>221</v>
      </c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50">
        <f t="shared" ref="R89:R94" si="9">SUM(F89:Q89)</f>
        <v>0</v>
      </c>
    </row>
    <row r="90" spans="2:18" x14ac:dyDescent="0.2">
      <c r="B90" s="49">
        <v>7410</v>
      </c>
      <c r="C90" t="s">
        <v>205</v>
      </c>
      <c r="D90" s="49" t="s">
        <v>223</v>
      </c>
      <c r="F90" s="48">
        <f>F76*0.06+8</f>
        <v>15.097999999999999</v>
      </c>
      <c r="G90" s="48">
        <f t="shared" ref="G90:Q90" si="10">G76*0.06+8</f>
        <v>15.097999999999999</v>
      </c>
      <c r="H90" s="48">
        <f t="shared" si="10"/>
        <v>15.097999999999999</v>
      </c>
      <c r="I90" s="48">
        <f t="shared" si="10"/>
        <v>15.097999999999999</v>
      </c>
      <c r="J90" s="48">
        <f t="shared" si="10"/>
        <v>15.097999999999999</v>
      </c>
      <c r="K90" s="48">
        <f t="shared" si="10"/>
        <v>15.097999999999999</v>
      </c>
      <c r="L90" s="48">
        <f t="shared" si="10"/>
        <v>15.097999999999999</v>
      </c>
      <c r="M90" s="48">
        <f t="shared" si="10"/>
        <v>15.097999999999999</v>
      </c>
      <c r="N90" s="48">
        <f t="shared" si="10"/>
        <v>15.097999999999999</v>
      </c>
      <c r="O90" s="48">
        <f t="shared" si="10"/>
        <v>15.097999999999999</v>
      </c>
      <c r="P90" s="48">
        <f t="shared" si="10"/>
        <v>15.097999999999999</v>
      </c>
      <c r="Q90" s="48">
        <f t="shared" si="10"/>
        <v>15.097999999999999</v>
      </c>
      <c r="R90" s="50">
        <f t="shared" si="9"/>
        <v>181.17600000000004</v>
      </c>
    </row>
    <row r="91" spans="2:18" x14ac:dyDescent="0.2">
      <c r="B91" s="49">
        <v>7420</v>
      </c>
      <c r="C91" t="s">
        <v>224</v>
      </c>
      <c r="D91" s="49" t="s">
        <v>225</v>
      </c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50">
        <f t="shared" si="9"/>
        <v>0</v>
      </c>
    </row>
    <row r="92" spans="2:18" x14ac:dyDescent="0.2">
      <c r="B92" s="49">
        <v>7460</v>
      </c>
      <c r="C92" t="s">
        <v>226</v>
      </c>
      <c r="D92" s="49" t="s">
        <v>227</v>
      </c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50">
        <f t="shared" si="9"/>
        <v>0</v>
      </c>
    </row>
    <row r="93" spans="2:18" x14ac:dyDescent="0.2">
      <c r="B93" s="49">
        <v>7510</v>
      </c>
      <c r="C93" t="s">
        <v>229</v>
      </c>
      <c r="D93" s="49" t="s">
        <v>230</v>
      </c>
      <c r="F93" s="48">
        <f>0.3142*F76</f>
        <v>37.16986</v>
      </c>
      <c r="G93" s="48">
        <f t="shared" ref="G93:Q93" si="11">0.3142*G76</f>
        <v>37.16986</v>
      </c>
      <c r="H93" s="48">
        <f t="shared" si="11"/>
        <v>37.16986</v>
      </c>
      <c r="I93" s="48">
        <f t="shared" si="11"/>
        <v>37.16986</v>
      </c>
      <c r="J93" s="48">
        <f t="shared" si="11"/>
        <v>37.16986</v>
      </c>
      <c r="K93" s="48">
        <f t="shared" si="11"/>
        <v>37.16986</v>
      </c>
      <c r="L93" s="48">
        <f t="shared" si="11"/>
        <v>37.16986</v>
      </c>
      <c r="M93" s="48">
        <f t="shared" si="11"/>
        <v>37.16986</v>
      </c>
      <c r="N93" s="48">
        <f t="shared" si="11"/>
        <v>37.16986</v>
      </c>
      <c r="O93" s="48">
        <f t="shared" si="11"/>
        <v>37.16986</v>
      </c>
      <c r="P93" s="48">
        <f t="shared" si="11"/>
        <v>37.16986</v>
      </c>
      <c r="Q93" s="48">
        <f t="shared" si="11"/>
        <v>37.16986</v>
      </c>
      <c r="R93" s="50">
        <f t="shared" si="9"/>
        <v>446.03831999999989</v>
      </c>
    </row>
    <row r="94" spans="2:18" x14ac:dyDescent="0.2">
      <c r="B94" s="49">
        <v>7519</v>
      </c>
      <c r="C94" t="s">
        <v>231</v>
      </c>
      <c r="D94" s="49" t="s">
        <v>232</v>
      </c>
      <c r="F94" s="48">
        <f>0.3142*(F80+F79)</f>
        <v>4.7577420799999999</v>
      </c>
      <c r="G94" s="48">
        <f t="shared" ref="G94:Q94" si="12">0.3142*(G80+G79)</f>
        <v>4.7577420799999999</v>
      </c>
      <c r="H94" s="48">
        <f t="shared" si="12"/>
        <v>4.7577420799999999</v>
      </c>
      <c r="I94" s="48">
        <f t="shared" si="12"/>
        <v>4.7577420799999999</v>
      </c>
      <c r="J94" s="48">
        <f t="shared" si="12"/>
        <v>4.7577420799999999</v>
      </c>
      <c r="K94" s="48">
        <f t="shared" si="12"/>
        <v>4.7577420799999999</v>
      </c>
      <c r="L94" s="48">
        <f t="shared" si="12"/>
        <v>-36.872501119999995</v>
      </c>
      <c r="M94" s="48">
        <f t="shared" si="12"/>
        <v>4.7577420799999999</v>
      </c>
      <c r="N94" s="48">
        <f t="shared" si="12"/>
        <v>4.7577420799999999</v>
      </c>
      <c r="O94" s="48">
        <f t="shared" si="12"/>
        <v>4.7577420799999999</v>
      </c>
      <c r="P94" s="48">
        <f t="shared" si="12"/>
        <v>4.7577420799999999</v>
      </c>
      <c r="Q94" s="48">
        <f t="shared" si="12"/>
        <v>4.7577420799999999</v>
      </c>
      <c r="R94" s="50">
        <f t="shared" si="9"/>
        <v>15.462661760000003</v>
      </c>
    </row>
    <row r="95" spans="2:18" x14ac:dyDescent="0.2">
      <c r="B95" s="49">
        <v>7530</v>
      </c>
      <c r="C95" t="s">
        <v>222</v>
      </c>
      <c r="D95" s="49" t="s">
        <v>233</v>
      </c>
      <c r="F95" s="48">
        <f>F90*0.2426</f>
        <v>3.6627747999999998</v>
      </c>
      <c r="G95" s="48">
        <f t="shared" ref="G95:Q95" si="13">G90*0.2426</f>
        <v>3.6627747999999998</v>
      </c>
      <c r="H95" s="48">
        <f t="shared" si="13"/>
        <v>3.6627747999999998</v>
      </c>
      <c r="I95" s="48">
        <f t="shared" si="13"/>
        <v>3.6627747999999998</v>
      </c>
      <c r="J95" s="48">
        <f t="shared" si="13"/>
        <v>3.6627747999999998</v>
      </c>
      <c r="K95" s="48">
        <f t="shared" si="13"/>
        <v>3.6627747999999998</v>
      </c>
      <c r="L95" s="48">
        <f t="shared" si="13"/>
        <v>3.6627747999999998</v>
      </c>
      <c r="M95" s="48">
        <f t="shared" si="13"/>
        <v>3.6627747999999998</v>
      </c>
      <c r="N95" s="48">
        <f t="shared" si="13"/>
        <v>3.6627747999999998</v>
      </c>
      <c r="O95" s="48">
        <f t="shared" si="13"/>
        <v>3.6627747999999998</v>
      </c>
      <c r="P95" s="48">
        <f t="shared" si="13"/>
        <v>3.6627747999999998</v>
      </c>
      <c r="Q95" s="48">
        <f t="shared" si="13"/>
        <v>3.6627747999999998</v>
      </c>
      <c r="R95" s="50">
        <f t="shared" si="4"/>
        <v>43.953297600000006</v>
      </c>
    </row>
    <row r="96" spans="2:18" x14ac:dyDescent="0.2">
      <c r="B96" s="49">
        <v>7570</v>
      </c>
      <c r="C96" t="s">
        <v>228</v>
      </c>
      <c r="D96" s="49" t="s">
        <v>234</v>
      </c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50">
        <f t="shared" si="4"/>
        <v>0</v>
      </c>
    </row>
    <row r="97" spans="2:18" x14ac:dyDescent="0.2">
      <c r="B97" s="49">
        <v>7610</v>
      </c>
      <c r="C97" t="s">
        <v>235</v>
      </c>
      <c r="D97" s="49" t="s">
        <v>236</v>
      </c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50">
        <f t="shared" si="4"/>
        <v>0</v>
      </c>
    </row>
    <row r="98" spans="2:18" x14ac:dyDescent="0.2">
      <c r="B98" s="49">
        <v>7620</v>
      </c>
      <c r="C98" t="s">
        <v>237</v>
      </c>
      <c r="D98" s="49" t="s">
        <v>238</v>
      </c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50">
        <f t="shared" si="4"/>
        <v>0</v>
      </c>
    </row>
    <row r="99" spans="2:18" x14ac:dyDescent="0.2">
      <c r="B99" s="49">
        <v>7621</v>
      </c>
      <c r="C99" t="s">
        <v>239</v>
      </c>
      <c r="D99" s="49" t="s">
        <v>240</v>
      </c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50">
        <f t="shared" si="4"/>
        <v>0</v>
      </c>
    </row>
    <row r="100" spans="2:18" x14ac:dyDescent="0.2">
      <c r="B100" s="49">
        <v>7622</v>
      </c>
      <c r="C100" t="s">
        <v>241</v>
      </c>
      <c r="D100" s="49" t="s">
        <v>242</v>
      </c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50">
        <f t="shared" si="4"/>
        <v>0</v>
      </c>
    </row>
    <row r="101" spans="2:18" x14ac:dyDescent="0.2">
      <c r="B101" s="49">
        <v>7631</v>
      </c>
      <c r="C101" t="s">
        <v>243</v>
      </c>
      <c r="D101" s="49" t="s">
        <v>244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50">
        <f t="shared" si="4"/>
        <v>0</v>
      </c>
    </row>
    <row r="102" spans="2:18" x14ac:dyDescent="0.2">
      <c r="B102" s="49">
        <v>7632</v>
      </c>
      <c r="C102" t="s">
        <v>245</v>
      </c>
      <c r="D102" s="49" t="s">
        <v>246</v>
      </c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50">
        <f t="shared" si="4"/>
        <v>0</v>
      </c>
    </row>
    <row r="103" spans="2:18" x14ac:dyDescent="0.2">
      <c r="B103" s="49">
        <v>7690</v>
      </c>
      <c r="C103" t="s">
        <v>247</v>
      </c>
      <c r="D103" s="49" t="s">
        <v>248</v>
      </c>
      <c r="F103" s="48">
        <f>89/12</f>
        <v>7.416666666666667</v>
      </c>
      <c r="G103" s="48">
        <f t="shared" ref="G103:Q103" si="14">89/12</f>
        <v>7.416666666666667</v>
      </c>
      <c r="H103" s="48">
        <f t="shared" si="14"/>
        <v>7.416666666666667</v>
      </c>
      <c r="I103" s="48">
        <f t="shared" si="14"/>
        <v>7.416666666666667</v>
      </c>
      <c r="J103" s="48">
        <f t="shared" si="14"/>
        <v>7.416666666666667</v>
      </c>
      <c r="K103" s="48">
        <f t="shared" si="14"/>
        <v>7.416666666666667</v>
      </c>
      <c r="L103" s="48">
        <f t="shared" si="14"/>
        <v>7.416666666666667</v>
      </c>
      <c r="M103" s="48">
        <f t="shared" si="14"/>
        <v>7.416666666666667</v>
      </c>
      <c r="N103" s="48">
        <f t="shared" si="14"/>
        <v>7.416666666666667</v>
      </c>
      <c r="O103" s="48">
        <f t="shared" si="14"/>
        <v>7.416666666666667</v>
      </c>
      <c r="P103" s="48">
        <f t="shared" si="14"/>
        <v>7.416666666666667</v>
      </c>
      <c r="Q103" s="48">
        <f t="shared" si="14"/>
        <v>7.416666666666667</v>
      </c>
      <c r="R103" s="50">
        <f t="shared" si="4"/>
        <v>89.000000000000014</v>
      </c>
    </row>
    <row r="104" spans="2:18" x14ac:dyDescent="0.2">
      <c r="B104" s="49">
        <v>7691</v>
      </c>
      <c r="C104" t="s">
        <v>249</v>
      </c>
      <c r="D104" s="49" t="s">
        <v>250</v>
      </c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50">
        <f t="shared" si="4"/>
        <v>0</v>
      </c>
    </row>
    <row r="105" spans="2:18" x14ac:dyDescent="0.2">
      <c r="B105" s="49">
        <v>7692</v>
      </c>
      <c r="C105" t="s">
        <v>251</v>
      </c>
      <c r="D105" s="49" t="s">
        <v>252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50">
        <f t="shared" si="4"/>
        <v>0</v>
      </c>
    </row>
    <row r="106" spans="2:18" x14ac:dyDescent="0.2">
      <c r="F106" s="53">
        <f t="shared" ref="F106:Q106" si="15">SUM(F2:F105)</f>
        <v>313.96411021333341</v>
      </c>
      <c r="G106" s="53">
        <f t="shared" si="15"/>
        <v>313.96411021333341</v>
      </c>
      <c r="H106" s="53">
        <f t="shared" si="15"/>
        <v>313.96411021333341</v>
      </c>
      <c r="I106" s="53">
        <f t="shared" si="15"/>
        <v>313.96411021333341</v>
      </c>
      <c r="J106" s="53">
        <f t="shared" si="15"/>
        <v>313.96411021333341</v>
      </c>
      <c r="K106" s="53">
        <f t="shared" si="15"/>
        <v>313.96411021333341</v>
      </c>
      <c r="L106" s="53">
        <f t="shared" si="15"/>
        <v>139.83786701333332</v>
      </c>
      <c r="M106" s="53">
        <f t="shared" si="15"/>
        <v>313.96411021333341</v>
      </c>
      <c r="N106" s="53">
        <f t="shared" si="15"/>
        <v>313.96411021333341</v>
      </c>
      <c r="O106" s="53">
        <f t="shared" si="15"/>
        <v>313.96411021333341</v>
      </c>
      <c r="P106" s="53">
        <f t="shared" si="15"/>
        <v>313.96411021333341</v>
      </c>
      <c r="Q106" s="53">
        <f t="shared" si="15"/>
        <v>313.96411021333341</v>
      </c>
      <c r="R106" s="53">
        <f>SUM(R2:R105)</f>
        <v>3593.44307936</v>
      </c>
    </row>
    <row r="108" spans="2:18" x14ac:dyDescent="0.2">
      <c r="E108" t="s">
        <v>253</v>
      </c>
      <c r="F108" s="28">
        <f t="shared" ref="F108:Q108" si="16">SUM(F2:F72)</f>
        <v>112.41666666666666</v>
      </c>
      <c r="G108" s="28">
        <f t="shared" si="16"/>
        <v>112.41666666666666</v>
      </c>
      <c r="H108" s="28">
        <f t="shared" si="16"/>
        <v>112.41666666666666</v>
      </c>
      <c r="I108" s="28">
        <f t="shared" si="16"/>
        <v>112.41666666666666</v>
      </c>
      <c r="J108" s="28">
        <f t="shared" si="16"/>
        <v>112.41666666666666</v>
      </c>
      <c r="K108" s="28">
        <f t="shared" si="16"/>
        <v>112.41666666666666</v>
      </c>
      <c r="L108" s="28">
        <f t="shared" si="16"/>
        <v>112.41666666666666</v>
      </c>
      <c r="M108" s="28">
        <f t="shared" si="16"/>
        <v>112.41666666666666</v>
      </c>
      <c r="N108" s="28">
        <f t="shared" si="16"/>
        <v>112.41666666666666</v>
      </c>
      <c r="O108" s="28">
        <f t="shared" si="16"/>
        <v>112.41666666666666</v>
      </c>
      <c r="P108" s="28">
        <f t="shared" si="16"/>
        <v>112.41666666666666</v>
      </c>
      <c r="Q108" s="28">
        <f t="shared" si="16"/>
        <v>112.41666666666666</v>
      </c>
      <c r="R108" s="28">
        <f t="shared" ref="R108" si="17">SUM(R2:R71)</f>
        <v>1349</v>
      </c>
    </row>
    <row r="109" spans="2:18" x14ac:dyDescent="0.2">
      <c r="E109" t="s">
        <v>254</v>
      </c>
      <c r="F109">
        <f>SUM(F73:F105)</f>
        <v>201.54744354666661</v>
      </c>
      <c r="G109">
        <f>SUM(G73:G105)</f>
        <v>201.54744354666661</v>
      </c>
      <c r="H109">
        <f>SUM(H73:H105)</f>
        <v>201.54744354666661</v>
      </c>
      <c r="I109">
        <f>SUM(I73:I105)</f>
        <v>201.54744354666661</v>
      </c>
      <c r="J109">
        <f>SUM(J73:J105)</f>
        <v>201.54744354666661</v>
      </c>
      <c r="K109">
        <f>SUM(K73:K105)</f>
        <v>201.54744354666661</v>
      </c>
      <c r="L109">
        <f>SUM(L73:L105)</f>
        <v>27.421200346666669</v>
      </c>
      <c r="M109">
        <f>SUM(M73:M105)</f>
        <v>201.54744354666661</v>
      </c>
      <c r="N109">
        <f>SUM(N73:N105)</f>
        <v>201.54744354666661</v>
      </c>
      <c r="O109">
        <f>SUM(O73:O105)</f>
        <v>201.54744354666661</v>
      </c>
      <c r="P109">
        <f>SUM(P73:P105)</f>
        <v>201.54744354666661</v>
      </c>
      <c r="Q109">
        <f>SUM(Q73:Q105)</f>
        <v>201.54744354666661</v>
      </c>
      <c r="R109">
        <f t="shared" ref="R109" si="18">SUM(R72:R104)</f>
        <v>2244.44307936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2EF-EDF2-41AB-8CF6-6678474E501A}">
  <sheetPr>
    <tabColor rgb="FF92D050"/>
  </sheetPr>
  <dimension ref="B1:R109"/>
  <sheetViews>
    <sheetView workbookViewId="0">
      <selection activeCell="B1" sqref="A1:B1048576"/>
    </sheetView>
  </sheetViews>
  <sheetFormatPr defaultRowHeight="15" x14ac:dyDescent="0.2"/>
  <cols>
    <col min="1" max="1" width="11.02734375" bestFit="1" customWidth="1"/>
    <col min="2" max="2" width="6.3203125" bestFit="1" customWidth="1"/>
    <col min="3" max="3" width="49.234375" bestFit="1" customWidth="1"/>
    <col min="4" max="4" width="53.80859375" bestFit="1" customWidth="1"/>
    <col min="5" max="5" width="8.7421875" bestFit="1" customWidth="1"/>
    <col min="6" max="17" width="8.875" customWidth="1"/>
    <col min="18" max="18" width="11.703125" bestFit="1" customWidth="1"/>
    <col min="19" max="48" width="10.35546875" bestFit="1" customWidth="1"/>
    <col min="49" max="49" width="10.76171875" bestFit="1" customWidth="1"/>
    <col min="50" max="51" width="10.35546875" bestFit="1" customWidth="1"/>
    <col min="52" max="52" width="10.76171875" bestFit="1" customWidth="1"/>
    <col min="53" max="64" width="10.35546875" bestFit="1" customWidth="1"/>
    <col min="65" max="65" width="11.97265625" bestFit="1" customWidth="1"/>
  </cols>
  <sheetData>
    <row r="1" spans="2:18" x14ac:dyDescent="0.2">
      <c r="B1" t="s">
        <v>40</v>
      </c>
      <c r="C1" t="s">
        <v>41</v>
      </c>
      <c r="D1" t="s">
        <v>42</v>
      </c>
      <c r="F1" s="48">
        <v>2601</v>
      </c>
      <c r="G1" s="48">
        <v>2602</v>
      </c>
      <c r="H1" s="48">
        <v>2603</v>
      </c>
      <c r="I1" s="48">
        <v>2604</v>
      </c>
      <c r="J1" s="48">
        <v>2605</v>
      </c>
      <c r="K1" s="48">
        <v>2606</v>
      </c>
      <c r="L1" s="48">
        <v>2607</v>
      </c>
      <c r="M1" s="48">
        <v>2608</v>
      </c>
      <c r="N1" s="48">
        <v>2609</v>
      </c>
      <c r="O1" s="48">
        <v>2610</v>
      </c>
      <c r="P1" s="48">
        <v>2611</v>
      </c>
      <c r="Q1" s="48">
        <v>2612</v>
      </c>
      <c r="R1" s="48" t="s">
        <v>43</v>
      </c>
    </row>
    <row r="2" spans="2:18" x14ac:dyDescent="0.2">
      <c r="B2" s="49">
        <v>5010</v>
      </c>
      <c r="C2" t="s">
        <v>44</v>
      </c>
      <c r="D2" s="49" t="s">
        <v>45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>
        <f>SUM(F2:Q2)</f>
        <v>0</v>
      </c>
    </row>
    <row r="3" spans="2:18" x14ac:dyDescent="0.2">
      <c r="B3" s="49">
        <v>5020</v>
      </c>
      <c r="C3" t="s">
        <v>46</v>
      </c>
      <c r="D3" s="49" t="s">
        <v>47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>
        <f t="shared" ref="R3:R66" si="0">SUM(F3:Q3)</f>
        <v>0</v>
      </c>
    </row>
    <row r="4" spans="2:18" x14ac:dyDescent="0.2">
      <c r="B4" s="49">
        <v>5030</v>
      </c>
      <c r="C4" t="s">
        <v>48</v>
      </c>
      <c r="D4" s="49" t="s">
        <v>49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50">
        <f t="shared" si="0"/>
        <v>0</v>
      </c>
    </row>
    <row r="5" spans="2:18" x14ac:dyDescent="0.2">
      <c r="B5" s="49">
        <v>5060</v>
      </c>
      <c r="C5" t="s">
        <v>50</v>
      </c>
      <c r="D5" s="49" t="s">
        <v>51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50">
        <f t="shared" si="0"/>
        <v>0</v>
      </c>
    </row>
    <row r="6" spans="2:18" x14ac:dyDescent="0.2">
      <c r="B6" s="49">
        <v>5061</v>
      </c>
      <c r="C6" t="s">
        <v>52</v>
      </c>
      <c r="D6" s="49" t="s">
        <v>53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50">
        <f t="shared" si="0"/>
        <v>0</v>
      </c>
    </row>
    <row r="7" spans="2:18" x14ac:dyDescent="0.2">
      <c r="B7" s="49">
        <v>5070</v>
      </c>
      <c r="C7" t="s">
        <v>54</v>
      </c>
      <c r="D7" s="49" t="s">
        <v>55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50">
        <f t="shared" si="0"/>
        <v>0</v>
      </c>
    </row>
    <row r="8" spans="2:18" x14ac:dyDescent="0.2">
      <c r="B8" s="49">
        <v>5071</v>
      </c>
      <c r="C8" t="s">
        <v>56</v>
      </c>
      <c r="D8" s="49" t="s">
        <v>57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50">
        <f t="shared" si="0"/>
        <v>0</v>
      </c>
    </row>
    <row r="9" spans="2:18" x14ac:dyDescent="0.2">
      <c r="B9" s="49">
        <v>5090</v>
      </c>
      <c r="C9" t="s">
        <v>58</v>
      </c>
      <c r="D9" s="49" t="s">
        <v>59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50">
        <f t="shared" si="0"/>
        <v>0</v>
      </c>
    </row>
    <row r="10" spans="2:18" x14ac:dyDescent="0.2">
      <c r="B10" s="49">
        <v>5222</v>
      </c>
      <c r="C10" t="s">
        <v>60</v>
      </c>
      <c r="D10" s="49" t="s">
        <v>61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50">
        <f t="shared" si="0"/>
        <v>0</v>
      </c>
    </row>
    <row r="11" spans="2:18" x14ac:dyDescent="0.2">
      <c r="B11" s="49">
        <v>5410</v>
      </c>
      <c r="C11" t="s">
        <v>62</v>
      </c>
      <c r="D11" s="49" t="s">
        <v>63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50">
        <f t="shared" si="0"/>
        <v>0</v>
      </c>
    </row>
    <row r="12" spans="2:18" x14ac:dyDescent="0.2">
      <c r="B12" s="49">
        <v>5420</v>
      </c>
      <c r="C12" t="s">
        <v>64</v>
      </c>
      <c r="D12" s="49" t="s">
        <v>65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50">
        <f t="shared" si="0"/>
        <v>0</v>
      </c>
    </row>
    <row r="13" spans="2:18" x14ac:dyDescent="0.2">
      <c r="B13" s="49">
        <v>5440</v>
      </c>
      <c r="C13" t="s">
        <v>66</v>
      </c>
      <c r="D13" s="49" t="s">
        <v>67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0">
        <f t="shared" si="0"/>
        <v>0</v>
      </c>
    </row>
    <row r="14" spans="2:18" x14ac:dyDescent="0.2">
      <c r="B14" s="49">
        <v>5460</v>
      </c>
      <c r="C14" t="s">
        <v>68</v>
      </c>
      <c r="D14" s="49" t="s">
        <v>69</v>
      </c>
      <c r="F14" s="48">
        <v>20</v>
      </c>
      <c r="G14" s="48">
        <v>20</v>
      </c>
      <c r="H14" s="48">
        <v>20</v>
      </c>
      <c r="I14" s="48">
        <v>20</v>
      </c>
      <c r="J14" s="48">
        <v>20</v>
      </c>
      <c r="K14" s="48">
        <v>20</v>
      </c>
      <c r="L14" s="48">
        <v>20</v>
      </c>
      <c r="M14" s="48">
        <v>20</v>
      </c>
      <c r="N14" s="48">
        <v>20</v>
      </c>
      <c r="O14" s="48">
        <v>20</v>
      </c>
      <c r="P14" s="48">
        <v>20</v>
      </c>
      <c r="Q14" s="48">
        <v>20</v>
      </c>
      <c r="R14" s="50">
        <f t="shared" si="0"/>
        <v>240</v>
      </c>
    </row>
    <row r="15" spans="2:18" x14ac:dyDescent="0.2">
      <c r="B15" s="49">
        <v>5462</v>
      </c>
      <c r="C15" t="s">
        <v>70</v>
      </c>
      <c r="D15" s="51" t="s">
        <v>71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0">
        <f t="shared" si="0"/>
        <v>0</v>
      </c>
    </row>
    <row r="16" spans="2:18" x14ac:dyDescent="0.2">
      <c r="B16" s="49">
        <v>5463</v>
      </c>
      <c r="C16" t="s">
        <v>72</v>
      </c>
      <c r="D16" s="51" t="s">
        <v>73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50">
        <f t="shared" si="0"/>
        <v>0</v>
      </c>
    </row>
    <row r="17" spans="2:18" x14ac:dyDescent="0.2">
      <c r="B17" s="49">
        <v>5464</v>
      </c>
      <c r="C17" t="s">
        <v>75</v>
      </c>
      <c r="D17" s="51" t="s">
        <v>76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50">
        <f t="shared" si="0"/>
        <v>0</v>
      </c>
    </row>
    <row r="18" spans="2:18" x14ac:dyDescent="0.2">
      <c r="B18" s="49">
        <v>5465</v>
      </c>
      <c r="C18" t="s">
        <v>77</v>
      </c>
      <c r="D18" s="51" t="s">
        <v>78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0">
        <f t="shared" si="0"/>
        <v>0</v>
      </c>
    </row>
    <row r="19" spans="2:18" x14ac:dyDescent="0.2">
      <c r="B19" s="49">
        <v>5466</v>
      </c>
      <c r="C19" t="s">
        <v>79</v>
      </c>
      <c r="D19" s="51" t="s">
        <v>80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50">
        <f t="shared" si="0"/>
        <v>0</v>
      </c>
    </row>
    <row r="20" spans="2:18" x14ac:dyDescent="0.2">
      <c r="B20" s="49">
        <v>5480</v>
      </c>
      <c r="C20" t="s">
        <v>74</v>
      </c>
      <c r="D20" s="49" t="s">
        <v>81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50">
        <f t="shared" si="0"/>
        <v>0</v>
      </c>
    </row>
    <row r="21" spans="2:18" x14ac:dyDescent="0.2">
      <c r="B21" s="49">
        <v>5500</v>
      </c>
      <c r="C21" t="s">
        <v>82</v>
      </c>
      <c r="D21" s="49" t="s">
        <v>83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50">
        <f t="shared" si="0"/>
        <v>0</v>
      </c>
    </row>
    <row r="22" spans="2:18" x14ac:dyDescent="0.2">
      <c r="B22" s="49">
        <v>5611</v>
      </c>
      <c r="C22" t="s">
        <v>84</v>
      </c>
      <c r="D22" s="49" t="s">
        <v>85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50">
        <f t="shared" si="0"/>
        <v>0</v>
      </c>
    </row>
    <row r="23" spans="2:18" x14ac:dyDescent="0.2">
      <c r="B23" s="49">
        <v>5612</v>
      </c>
      <c r="C23" t="s">
        <v>86</v>
      </c>
      <c r="D23" s="49" t="s">
        <v>87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50">
        <f t="shared" si="0"/>
        <v>0</v>
      </c>
    </row>
    <row r="24" spans="2:18" x14ac:dyDescent="0.2">
      <c r="B24" s="49">
        <v>5613</v>
      </c>
      <c r="C24" t="s">
        <v>88</v>
      </c>
      <c r="D24" s="49" t="s">
        <v>89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50">
        <f t="shared" si="0"/>
        <v>0</v>
      </c>
    </row>
    <row r="25" spans="2:18" x14ac:dyDescent="0.2">
      <c r="B25" s="49">
        <v>5615</v>
      </c>
      <c r="C25" t="s">
        <v>90</v>
      </c>
      <c r="D25" s="49" t="s">
        <v>91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50">
        <f t="shared" si="0"/>
        <v>0</v>
      </c>
    </row>
    <row r="26" spans="2:18" x14ac:dyDescent="0.2">
      <c r="B26" s="49">
        <v>5616</v>
      </c>
      <c r="C26" t="s">
        <v>92</v>
      </c>
      <c r="D26" s="49" t="s">
        <v>93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50">
        <f t="shared" si="0"/>
        <v>0</v>
      </c>
    </row>
    <row r="27" spans="2:18" x14ac:dyDescent="0.2">
      <c r="B27" s="49">
        <v>5619</v>
      </c>
      <c r="C27" t="s">
        <v>94</v>
      </c>
      <c r="D27" s="49" t="s">
        <v>95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50">
        <f t="shared" si="0"/>
        <v>0</v>
      </c>
    </row>
    <row r="28" spans="2:18" x14ac:dyDescent="0.2">
      <c r="B28" s="49">
        <v>5720</v>
      </c>
      <c r="C28" t="s">
        <v>96</v>
      </c>
      <c r="D28" s="49" t="s">
        <v>97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50">
        <f t="shared" si="0"/>
        <v>0</v>
      </c>
    </row>
    <row r="29" spans="2:18" x14ac:dyDescent="0.2">
      <c r="B29" s="49">
        <v>5831</v>
      </c>
      <c r="C29" t="s">
        <v>98</v>
      </c>
      <c r="D29" s="49" t="s">
        <v>99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50">
        <f t="shared" si="0"/>
        <v>0</v>
      </c>
    </row>
    <row r="30" spans="2:18" x14ac:dyDescent="0.2">
      <c r="B30" s="49">
        <v>5832</v>
      </c>
      <c r="C30" t="s">
        <v>100</v>
      </c>
      <c r="D30" s="49" t="s">
        <v>101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50">
        <f t="shared" si="0"/>
        <v>0</v>
      </c>
    </row>
    <row r="31" spans="2:18" x14ac:dyDescent="0.2">
      <c r="B31" s="49">
        <v>5890</v>
      </c>
      <c r="C31" t="s">
        <v>103</v>
      </c>
      <c r="D31" s="49" t="s">
        <v>104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50">
        <f t="shared" si="0"/>
        <v>0</v>
      </c>
    </row>
    <row r="32" spans="2:18" x14ac:dyDescent="0.2">
      <c r="B32" s="49">
        <v>5891</v>
      </c>
      <c r="C32" t="s">
        <v>106</v>
      </c>
      <c r="D32" s="51" t="s">
        <v>107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50">
        <f t="shared" si="0"/>
        <v>0</v>
      </c>
    </row>
    <row r="33" spans="2:18" x14ac:dyDescent="0.2">
      <c r="B33" s="49">
        <v>5892</v>
      </c>
      <c r="C33" t="s">
        <v>108</v>
      </c>
      <c r="D33" s="51" t="s">
        <v>109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50">
        <f t="shared" si="0"/>
        <v>0</v>
      </c>
    </row>
    <row r="34" spans="2:18" x14ac:dyDescent="0.2">
      <c r="B34" s="49">
        <v>5900</v>
      </c>
      <c r="C34" t="s">
        <v>110</v>
      </c>
      <c r="D34" s="49" t="s">
        <v>111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0">
        <f t="shared" si="0"/>
        <v>0</v>
      </c>
    </row>
    <row r="35" spans="2:18" x14ac:dyDescent="0.2">
      <c r="B35" s="49">
        <v>5930</v>
      </c>
      <c r="C35" t="s">
        <v>112</v>
      </c>
      <c r="D35" s="49" t="s">
        <v>113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0">
        <f t="shared" si="0"/>
        <v>0</v>
      </c>
    </row>
    <row r="36" spans="2:18" x14ac:dyDescent="0.2">
      <c r="B36" s="49">
        <v>5940</v>
      </c>
      <c r="C36" t="s">
        <v>114</v>
      </c>
      <c r="D36" s="49" t="s">
        <v>115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0">
        <f t="shared" si="0"/>
        <v>0</v>
      </c>
    </row>
    <row r="37" spans="2:18" x14ac:dyDescent="0.2">
      <c r="B37" s="49">
        <v>5941</v>
      </c>
      <c r="C37" t="s">
        <v>116</v>
      </c>
      <c r="D37" s="49" t="s">
        <v>117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0">
        <f t="shared" si="0"/>
        <v>0</v>
      </c>
    </row>
    <row r="38" spans="2:18" x14ac:dyDescent="0.2">
      <c r="B38" s="49">
        <v>5970</v>
      </c>
      <c r="C38" t="s">
        <v>118</v>
      </c>
      <c r="D38" s="49" t="s">
        <v>119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0">
        <f t="shared" si="0"/>
        <v>0</v>
      </c>
    </row>
    <row r="39" spans="2:18" x14ac:dyDescent="0.2">
      <c r="B39" s="49">
        <v>5980</v>
      </c>
      <c r="C39" t="s">
        <v>120</v>
      </c>
      <c r="D39" s="49" t="s">
        <v>121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0">
        <f t="shared" si="0"/>
        <v>0</v>
      </c>
    </row>
    <row r="40" spans="2:18" x14ac:dyDescent="0.2">
      <c r="B40" s="49">
        <v>5990</v>
      </c>
      <c r="C40" t="s">
        <v>122</v>
      </c>
      <c r="D40" s="49" t="s">
        <v>123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0">
        <f t="shared" si="0"/>
        <v>0</v>
      </c>
    </row>
    <row r="41" spans="2:18" x14ac:dyDescent="0.2">
      <c r="B41" s="49">
        <v>6071</v>
      </c>
      <c r="C41" t="s">
        <v>124</v>
      </c>
      <c r="D41" s="49" t="s">
        <v>125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0">
        <f t="shared" si="0"/>
        <v>0</v>
      </c>
    </row>
    <row r="42" spans="2:18" x14ac:dyDescent="0.2">
      <c r="B42" s="49">
        <v>6072</v>
      </c>
      <c r="C42" t="s">
        <v>127</v>
      </c>
      <c r="D42" s="49" t="s">
        <v>128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0">
        <f t="shared" si="0"/>
        <v>0</v>
      </c>
    </row>
    <row r="43" spans="2:18" x14ac:dyDescent="0.2">
      <c r="B43" s="49">
        <v>6090</v>
      </c>
      <c r="C43" t="s">
        <v>129</v>
      </c>
      <c r="D43" s="49" t="s">
        <v>130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50">
        <f t="shared" si="0"/>
        <v>0</v>
      </c>
    </row>
    <row r="44" spans="2:18" x14ac:dyDescent="0.2">
      <c r="B44" s="49">
        <v>6091</v>
      </c>
      <c r="C44" t="s">
        <v>131</v>
      </c>
      <c r="D44" s="51" t="s">
        <v>132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50">
        <f t="shared" si="0"/>
        <v>0</v>
      </c>
    </row>
    <row r="45" spans="2:18" x14ac:dyDescent="0.2">
      <c r="B45" s="49">
        <v>6092</v>
      </c>
      <c r="C45" t="s">
        <v>133</v>
      </c>
      <c r="D45" s="51" t="s">
        <v>134</v>
      </c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50">
        <f t="shared" si="0"/>
        <v>0</v>
      </c>
    </row>
    <row r="46" spans="2:18" x14ac:dyDescent="0.2">
      <c r="B46" s="49">
        <v>6093</v>
      </c>
      <c r="C46" t="s">
        <v>135</v>
      </c>
      <c r="D46" s="51" t="s">
        <v>136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50">
        <f t="shared" si="0"/>
        <v>0</v>
      </c>
    </row>
    <row r="47" spans="2:18" x14ac:dyDescent="0.2">
      <c r="B47" s="49">
        <v>6110</v>
      </c>
      <c r="C47" t="s">
        <v>138</v>
      </c>
      <c r="D47" s="49" t="s">
        <v>139</v>
      </c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50">
        <f t="shared" si="0"/>
        <v>0</v>
      </c>
    </row>
    <row r="48" spans="2:18" x14ac:dyDescent="0.2">
      <c r="B48" s="49">
        <v>6211</v>
      </c>
      <c r="C48" t="s">
        <v>140</v>
      </c>
      <c r="D48" s="49" t="s">
        <v>141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50">
        <f t="shared" si="0"/>
        <v>0</v>
      </c>
    </row>
    <row r="49" spans="2:18" x14ac:dyDescent="0.2">
      <c r="B49" s="49">
        <v>6212</v>
      </c>
      <c r="C49" t="s">
        <v>142</v>
      </c>
      <c r="D49" s="49" t="s">
        <v>143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50">
        <f t="shared" si="0"/>
        <v>0</v>
      </c>
    </row>
    <row r="50" spans="2:18" x14ac:dyDescent="0.2">
      <c r="B50" s="49">
        <v>6213</v>
      </c>
      <c r="C50" t="s">
        <v>144</v>
      </c>
      <c r="D50" s="49" t="s">
        <v>145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50">
        <f t="shared" si="0"/>
        <v>0</v>
      </c>
    </row>
    <row r="51" spans="2:18" x14ac:dyDescent="0.2">
      <c r="B51" s="49">
        <v>6230</v>
      </c>
      <c r="C51" t="s">
        <v>147</v>
      </c>
      <c r="D51" s="49" t="s">
        <v>148</v>
      </c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50">
        <f t="shared" si="0"/>
        <v>0</v>
      </c>
    </row>
    <row r="52" spans="2:18" x14ac:dyDescent="0.2">
      <c r="B52" s="49">
        <v>6250</v>
      </c>
      <c r="C52" t="s">
        <v>149</v>
      </c>
      <c r="D52" s="49" t="s">
        <v>150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50">
        <f t="shared" si="0"/>
        <v>0</v>
      </c>
    </row>
    <row r="53" spans="2:18" x14ac:dyDescent="0.2">
      <c r="B53" s="49">
        <v>6310</v>
      </c>
      <c r="C53" t="s">
        <v>151</v>
      </c>
      <c r="D53" s="49" t="s">
        <v>152</v>
      </c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50">
        <f t="shared" si="0"/>
        <v>0</v>
      </c>
    </row>
    <row r="54" spans="2:18" x14ac:dyDescent="0.2">
      <c r="B54" s="49">
        <v>6351</v>
      </c>
      <c r="C54" t="s">
        <v>153</v>
      </c>
      <c r="D54" s="49" t="s">
        <v>154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50">
        <f t="shared" si="0"/>
        <v>0</v>
      </c>
    </row>
    <row r="55" spans="2:18" x14ac:dyDescent="0.2">
      <c r="B55" s="49">
        <v>6370</v>
      </c>
      <c r="C55" t="s">
        <v>155</v>
      </c>
      <c r="D55" s="49" t="s">
        <v>156</v>
      </c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50">
        <f t="shared" si="0"/>
        <v>0</v>
      </c>
    </row>
    <row r="56" spans="2:18" x14ac:dyDescent="0.2">
      <c r="B56" s="49">
        <v>6420</v>
      </c>
      <c r="C56" t="s">
        <v>157</v>
      </c>
      <c r="D56" s="49" t="s">
        <v>158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50">
        <f t="shared" si="0"/>
        <v>0</v>
      </c>
    </row>
    <row r="57" spans="2:18" x14ac:dyDescent="0.2">
      <c r="B57" s="49">
        <v>6430</v>
      </c>
      <c r="C57" t="s">
        <v>160</v>
      </c>
      <c r="D57" s="49" t="s">
        <v>161</v>
      </c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50">
        <f t="shared" si="0"/>
        <v>0</v>
      </c>
    </row>
    <row r="58" spans="2:18" x14ac:dyDescent="0.2">
      <c r="B58" s="49">
        <v>6530</v>
      </c>
      <c r="C58" t="s">
        <v>162</v>
      </c>
      <c r="D58" s="49" t="s">
        <v>163</v>
      </c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50">
        <f t="shared" si="0"/>
        <v>0</v>
      </c>
    </row>
    <row r="59" spans="2:18" x14ac:dyDescent="0.2">
      <c r="B59" s="49">
        <v>6540</v>
      </c>
      <c r="C59" t="s">
        <v>137</v>
      </c>
      <c r="D59" s="49" t="s">
        <v>164</v>
      </c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50">
        <f t="shared" si="0"/>
        <v>0</v>
      </c>
    </row>
    <row r="60" spans="2:18" x14ac:dyDescent="0.2">
      <c r="B60" s="49">
        <v>6550</v>
      </c>
      <c r="C60" t="s">
        <v>165</v>
      </c>
      <c r="D60" s="49" t="s">
        <v>166</v>
      </c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50">
        <f t="shared" si="0"/>
        <v>0</v>
      </c>
    </row>
    <row r="61" spans="2:18" x14ac:dyDescent="0.2">
      <c r="B61" s="49">
        <v>6560</v>
      </c>
      <c r="C61" t="s">
        <v>167</v>
      </c>
      <c r="D61" s="49" t="s">
        <v>168</v>
      </c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50">
        <f t="shared" si="0"/>
        <v>0</v>
      </c>
    </row>
    <row r="62" spans="2:18" x14ac:dyDescent="0.2">
      <c r="B62" s="49">
        <v>6570</v>
      </c>
      <c r="C62" t="s">
        <v>169</v>
      </c>
      <c r="D62" s="49" t="s">
        <v>170</v>
      </c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50">
        <f t="shared" si="0"/>
        <v>0</v>
      </c>
    </row>
    <row r="63" spans="2:18" x14ac:dyDescent="0.2">
      <c r="B63" s="49">
        <v>6580</v>
      </c>
      <c r="C63" t="s">
        <v>172</v>
      </c>
      <c r="D63" s="49" t="s">
        <v>173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50">
        <f t="shared" si="0"/>
        <v>0</v>
      </c>
    </row>
    <row r="64" spans="2:18" x14ac:dyDescent="0.2">
      <c r="B64" s="49">
        <v>6590</v>
      </c>
      <c r="C64" t="s">
        <v>174</v>
      </c>
      <c r="D64" s="49" t="s">
        <v>175</v>
      </c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50">
        <f t="shared" si="0"/>
        <v>0</v>
      </c>
    </row>
    <row r="65" spans="2:18" x14ac:dyDescent="0.2">
      <c r="B65" s="49">
        <v>6920</v>
      </c>
      <c r="C65" t="s">
        <v>176</v>
      </c>
      <c r="D65" s="49" t="s">
        <v>177</v>
      </c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50">
        <f t="shared" si="0"/>
        <v>0</v>
      </c>
    </row>
    <row r="66" spans="2:18" x14ac:dyDescent="0.2">
      <c r="B66" s="49">
        <v>6940</v>
      </c>
      <c r="C66" t="s">
        <v>179</v>
      </c>
      <c r="D66" s="49" t="s">
        <v>180</v>
      </c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50">
        <f t="shared" si="0"/>
        <v>0</v>
      </c>
    </row>
    <row r="67" spans="2:18" x14ac:dyDescent="0.2">
      <c r="B67" s="49">
        <v>6950</v>
      </c>
      <c r="C67" t="s">
        <v>181</v>
      </c>
      <c r="D67" s="49" t="str">
        <f>B67 &amp; C67</f>
        <v>6950Tillsynsavgifter till myndigheter</v>
      </c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50">
        <f t="shared" ref="R67:R104" si="1">SUM(F67:Q67)</f>
        <v>0</v>
      </c>
    </row>
    <row r="68" spans="2:18" x14ac:dyDescent="0.2">
      <c r="B68" s="49">
        <v>6970</v>
      </c>
      <c r="C68" t="s">
        <v>182</v>
      </c>
      <c r="D68" s="49" t="s">
        <v>183</v>
      </c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50">
        <f t="shared" si="1"/>
        <v>0</v>
      </c>
    </row>
    <row r="69" spans="2:18" x14ac:dyDescent="0.2">
      <c r="B69" s="49">
        <v>6981</v>
      </c>
      <c r="C69" t="s">
        <v>185</v>
      </c>
      <c r="D69" s="49" t="s">
        <v>186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50">
        <f t="shared" si="1"/>
        <v>0</v>
      </c>
    </row>
    <row r="70" spans="2:18" x14ac:dyDescent="0.2">
      <c r="B70" s="49">
        <v>6982</v>
      </c>
      <c r="C70" t="s">
        <v>187</v>
      </c>
      <c r="D70" s="49" t="s">
        <v>188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50">
        <f t="shared" si="1"/>
        <v>0</v>
      </c>
    </row>
    <row r="71" spans="2:18" x14ac:dyDescent="0.2">
      <c r="B71" s="49">
        <v>6991</v>
      </c>
      <c r="C71" t="s">
        <v>146</v>
      </c>
      <c r="D71" s="49" t="s">
        <v>189</v>
      </c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50">
        <f t="shared" si="1"/>
        <v>0</v>
      </c>
    </row>
    <row r="72" spans="2:18" x14ac:dyDescent="0.2">
      <c r="B72" s="49">
        <v>6992</v>
      </c>
      <c r="C72" t="s">
        <v>190</v>
      </c>
      <c r="D72" s="49" t="s">
        <v>191</v>
      </c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50">
        <f t="shared" si="1"/>
        <v>0</v>
      </c>
    </row>
    <row r="73" spans="2:18" x14ac:dyDescent="0.2">
      <c r="B73" s="49">
        <v>7010</v>
      </c>
      <c r="C73" t="s">
        <v>192</v>
      </c>
      <c r="D73" s="49" t="s">
        <v>193</v>
      </c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50">
        <f t="shared" si="1"/>
        <v>0</v>
      </c>
    </row>
    <row r="74" spans="2:18" x14ac:dyDescent="0.2">
      <c r="B74" s="49">
        <v>7019</v>
      </c>
      <c r="C74" t="s">
        <v>194</v>
      </c>
      <c r="D74" s="49" t="s">
        <v>195</v>
      </c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50">
        <f t="shared" si="1"/>
        <v>0</v>
      </c>
    </row>
    <row r="75" spans="2:18" x14ac:dyDescent="0.2">
      <c r="B75" s="49">
        <v>7090</v>
      </c>
      <c r="C75" t="s">
        <v>171</v>
      </c>
      <c r="D75" s="49" t="s">
        <v>196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50">
        <f t="shared" si="1"/>
        <v>0</v>
      </c>
    </row>
    <row r="76" spans="2:18" x14ac:dyDescent="0.2">
      <c r="B76" s="49">
        <v>7210</v>
      </c>
      <c r="C76" t="s">
        <v>197</v>
      </c>
      <c r="D76" s="49" t="s">
        <v>198</v>
      </c>
      <c r="F76" s="48">
        <f>41.5+38+25</f>
        <v>104.5</v>
      </c>
      <c r="G76" s="48">
        <f>41.5+38+25</f>
        <v>104.5</v>
      </c>
      <c r="H76" s="48">
        <f>41.5+38+25</f>
        <v>104.5</v>
      </c>
      <c r="I76" s="48">
        <f>(41.5+38+25)*1.03</f>
        <v>107.63500000000001</v>
      </c>
      <c r="J76" s="48">
        <f t="shared" ref="J76:Q76" si="2">(41.5+38+25)*1.03</f>
        <v>107.63500000000001</v>
      </c>
      <c r="K76" s="48">
        <f t="shared" si="2"/>
        <v>107.63500000000001</v>
      </c>
      <c r="L76" s="48">
        <f t="shared" si="2"/>
        <v>107.63500000000001</v>
      </c>
      <c r="M76" s="48">
        <f t="shared" si="2"/>
        <v>107.63500000000001</v>
      </c>
      <c r="N76" s="48">
        <f t="shared" si="2"/>
        <v>107.63500000000001</v>
      </c>
      <c r="O76" s="48">
        <f t="shared" si="2"/>
        <v>107.63500000000001</v>
      </c>
      <c r="P76" s="48">
        <f t="shared" si="2"/>
        <v>107.63500000000001</v>
      </c>
      <c r="Q76" s="48">
        <f t="shared" si="2"/>
        <v>107.63500000000001</v>
      </c>
      <c r="R76" s="50">
        <f t="shared" si="1"/>
        <v>1282.2149999999999</v>
      </c>
    </row>
    <row r="77" spans="2:18" x14ac:dyDescent="0.2">
      <c r="B77" s="49">
        <v>7220</v>
      </c>
      <c r="C77" t="s">
        <v>159</v>
      </c>
      <c r="D77" s="49" t="s">
        <v>199</v>
      </c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50">
        <f t="shared" si="1"/>
        <v>0</v>
      </c>
    </row>
    <row r="78" spans="2:18" x14ac:dyDescent="0.2">
      <c r="B78" s="49">
        <v>7280</v>
      </c>
      <c r="C78" t="s">
        <v>200</v>
      </c>
      <c r="D78" s="49" t="s">
        <v>201</v>
      </c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50">
        <f t="shared" si="1"/>
        <v>0</v>
      </c>
    </row>
    <row r="79" spans="2:18" x14ac:dyDescent="0.2">
      <c r="B79" s="49">
        <v>7282</v>
      </c>
      <c r="C79" t="s">
        <v>202</v>
      </c>
      <c r="D79" s="49" t="s">
        <v>203</v>
      </c>
      <c r="F79" s="48">
        <f>F76*0.008</f>
        <v>0.83599999999999997</v>
      </c>
      <c r="G79" s="48">
        <f t="shared" ref="G79:Q79" si="3">G76*0.008</f>
        <v>0.83599999999999997</v>
      </c>
      <c r="H79" s="48">
        <f t="shared" si="3"/>
        <v>0.83599999999999997</v>
      </c>
      <c r="I79" s="48">
        <f t="shared" si="3"/>
        <v>0.86108000000000007</v>
      </c>
      <c r="J79" s="48">
        <f t="shared" si="3"/>
        <v>0.86108000000000007</v>
      </c>
      <c r="K79" s="48">
        <f t="shared" si="3"/>
        <v>0.86108000000000007</v>
      </c>
      <c r="L79" s="48">
        <f t="shared" si="3"/>
        <v>0.86108000000000007</v>
      </c>
      <c r="M79" s="48">
        <f t="shared" si="3"/>
        <v>0.86108000000000007</v>
      </c>
      <c r="N79" s="48">
        <f t="shared" si="3"/>
        <v>0.86108000000000007</v>
      </c>
      <c r="O79" s="48">
        <f t="shared" si="3"/>
        <v>0.86108000000000007</v>
      </c>
      <c r="P79" s="48">
        <f t="shared" si="3"/>
        <v>0.86108000000000007</v>
      </c>
      <c r="Q79" s="48">
        <f t="shared" si="3"/>
        <v>0.86108000000000007</v>
      </c>
      <c r="R79" s="50">
        <f t="shared" si="1"/>
        <v>10.257720000000001</v>
      </c>
    </row>
    <row r="80" spans="2:18" x14ac:dyDescent="0.2">
      <c r="B80" s="49">
        <v>7290</v>
      </c>
      <c r="C80" t="s">
        <v>171</v>
      </c>
      <c r="D80" s="49" t="s">
        <v>204</v>
      </c>
      <c r="F80" s="48">
        <f>F76*0.12</f>
        <v>12.54</v>
      </c>
      <c r="G80" s="48">
        <f t="shared" ref="G80:K80" si="4">G76*0.12</f>
        <v>12.54</v>
      </c>
      <c r="H80" s="48">
        <f t="shared" si="4"/>
        <v>12.54</v>
      </c>
      <c r="I80" s="48">
        <f t="shared" si="4"/>
        <v>12.9162</v>
      </c>
      <c r="J80" s="48">
        <f t="shared" si="4"/>
        <v>12.9162</v>
      </c>
      <c r="K80" s="48">
        <f t="shared" si="4"/>
        <v>12.9162</v>
      </c>
      <c r="L80" s="48">
        <f>-L76</f>
        <v>-107.63500000000001</v>
      </c>
      <c r="M80" s="48">
        <f t="shared" ref="M80:Q80" si="5">M76*0.12</f>
        <v>12.9162</v>
      </c>
      <c r="N80" s="48">
        <f t="shared" si="5"/>
        <v>12.9162</v>
      </c>
      <c r="O80" s="48">
        <f t="shared" si="5"/>
        <v>12.9162</v>
      </c>
      <c r="P80" s="48">
        <f t="shared" si="5"/>
        <v>12.9162</v>
      </c>
      <c r="Q80" s="48">
        <f t="shared" si="5"/>
        <v>12.9162</v>
      </c>
      <c r="R80" s="50">
        <f t="shared" si="1"/>
        <v>33.314599999999999</v>
      </c>
    </row>
    <row r="81" spans="2:18" x14ac:dyDescent="0.2">
      <c r="B81" s="49">
        <v>7300</v>
      </c>
      <c r="C81" t="s">
        <v>206</v>
      </c>
      <c r="D81" s="49" t="s">
        <v>207</v>
      </c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50">
        <f t="shared" si="1"/>
        <v>0</v>
      </c>
    </row>
    <row r="82" spans="2:18" x14ac:dyDescent="0.2">
      <c r="B82" s="49">
        <v>7321</v>
      </c>
      <c r="C82" t="s">
        <v>178</v>
      </c>
      <c r="D82" s="49" t="s">
        <v>208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50">
        <f t="shared" si="1"/>
        <v>0</v>
      </c>
    </row>
    <row r="83" spans="2:18" x14ac:dyDescent="0.2">
      <c r="B83" s="49">
        <v>7323</v>
      </c>
      <c r="C83" t="s">
        <v>184</v>
      </c>
      <c r="D83" s="49" t="s">
        <v>209</v>
      </c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50">
        <f t="shared" si="1"/>
        <v>0</v>
      </c>
    </row>
    <row r="84" spans="2:18" x14ac:dyDescent="0.2">
      <c r="B84" s="49">
        <v>7331</v>
      </c>
      <c r="C84" t="s">
        <v>210</v>
      </c>
      <c r="D84" s="49" t="s">
        <v>211</v>
      </c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50">
        <f>SUM(F84:Q84)</f>
        <v>0</v>
      </c>
    </row>
    <row r="85" spans="2:18" x14ac:dyDescent="0.2">
      <c r="B85" s="49">
        <v>7332</v>
      </c>
      <c r="C85" t="s">
        <v>212</v>
      </c>
      <c r="D85" s="49" t="s">
        <v>213</v>
      </c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50">
        <f t="shared" si="1"/>
        <v>0</v>
      </c>
    </row>
    <row r="86" spans="2:18" x14ac:dyDescent="0.2">
      <c r="B86" s="49">
        <v>7380</v>
      </c>
      <c r="C86" t="s">
        <v>214</v>
      </c>
      <c r="D86" s="49" t="s">
        <v>215</v>
      </c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50">
        <f t="shared" si="1"/>
        <v>0</v>
      </c>
    </row>
    <row r="87" spans="2:18" x14ac:dyDescent="0.2">
      <c r="B87" s="49">
        <v>7381</v>
      </c>
      <c r="C87" t="s">
        <v>216</v>
      </c>
      <c r="D87" s="49" t="s">
        <v>217</v>
      </c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50">
        <f>SUM(F87:Q87)</f>
        <v>0</v>
      </c>
    </row>
    <row r="88" spans="2:18" x14ac:dyDescent="0.2">
      <c r="B88" s="49">
        <v>7385</v>
      </c>
      <c r="C88" t="s">
        <v>218</v>
      </c>
      <c r="D88" s="49" t="s">
        <v>219</v>
      </c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50">
        <f t="shared" si="1"/>
        <v>0</v>
      </c>
    </row>
    <row r="89" spans="2:18" x14ac:dyDescent="0.2">
      <c r="B89" s="49">
        <v>7399</v>
      </c>
      <c r="C89" t="s">
        <v>220</v>
      </c>
      <c r="D89" s="49" t="s">
        <v>221</v>
      </c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50">
        <f t="shared" ref="R89:R94" si="6">SUM(F89:Q89)</f>
        <v>0</v>
      </c>
    </row>
    <row r="90" spans="2:18" x14ac:dyDescent="0.2">
      <c r="B90" s="49">
        <v>7410</v>
      </c>
      <c r="C90" t="s">
        <v>205</v>
      </c>
      <c r="D90" s="49" t="s">
        <v>223</v>
      </c>
      <c r="F90" s="48">
        <f>F76*0.06</f>
        <v>6.27</v>
      </c>
      <c r="G90" s="48">
        <f t="shared" ref="G90:Q90" si="7">G76*0.06</f>
        <v>6.27</v>
      </c>
      <c r="H90" s="48">
        <f t="shared" si="7"/>
        <v>6.27</v>
      </c>
      <c r="I90" s="48">
        <f t="shared" si="7"/>
        <v>6.4581</v>
      </c>
      <c r="J90" s="48">
        <f t="shared" si="7"/>
        <v>6.4581</v>
      </c>
      <c r="K90" s="48">
        <f t="shared" si="7"/>
        <v>6.4581</v>
      </c>
      <c r="L90" s="48">
        <f t="shared" si="7"/>
        <v>6.4581</v>
      </c>
      <c r="M90" s="48">
        <f t="shared" si="7"/>
        <v>6.4581</v>
      </c>
      <c r="N90" s="48">
        <f t="shared" si="7"/>
        <v>6.4581</v>
      </c>
      <c r="O90" s="48">
        <f t="shared" si="7"/>
        <v>6.4581</v>
      </c>
      <c r="P90" s="48">
        <f t="shared" si="7"/>
        <v>6.4581</v>
      </c>
      <c r="Q90" s="48">
        <f t="shared" si="7"/>
        <v>6.4581</v>
      </c>
      <c r="R90" s="50">
        <f t="shared" si="6"/>
        <v>76.932900000000004</v>
      </c>
    </row>
    <row r="91" spans="2:18" x14ac:dyDescent="0.2">
      <c r="B91" s="49">
        <v>7420</v>
      </c>
      <c r="C91" t="s">
        <v>224</v>
      </c>
      <c r="D91" s="49" t="s">
        <v>225</v>
      </c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50">
        <f t="shared" si="6"/>
        <v>0</v>
      </c>
    </row>
    <row r="92" spans="2:18" x14ac:dyDescent="0.2">
      <c r="B92" s="49">
        <v>7460</v>
      </c>
      <c r="C92" t="s">
        <v>226</v>
      </c>
      <c r="D92" s="49" t="s">
        <v>227</v>
      </c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50">
        <f t="shared" si="6"/>
        <v>0</v>
      </c>
    </row>
    <row r="93" spans="2:18" x14ac:dyDescent="0.2">
      <c r="B93" s="49">
        <v>7510</v>
      </c>
      <c r="C93" t="s">
        <v>229</v>
      </c>
      <c r="D93" s="49" t="s">
        <v>230</v>
      </c>
      <c r="F93" s="48">
        <f>0.3142*F76</f>
        <v>32.8339</v>
      </c>
      <c r="G93" s="48">
        <f t="shared" ref="G93:Q93" si="8">0.3142*G76</f>
        <v>32.8339</v>
      </c>
      <c r="H93" s="48">
        <f t="shared" si="8"/>
        <v>32.8339</v>
      </c>
      <c r="I93" s="48">
        <f t="shared" si="8"/>
        <v>33.818916999999999</v>
      </c>
      <c r="J93" s="48">
        <f t="shared" si="8"/>
        <v>33.818916999999999</v>
      </c>
      <c r="K93" s="48">
        <f t="shared" si="8"/>
        <v>33.818916999999999</v>
      </c>
      <c r="L93" s="48">
        <f t="shared" si="8"/>
        <v>33.818916999999999</v>
      </c>
      <c r="M93" s="48">
        <f t="shared" si="8"/>
        <v>33.818916999999999</v>
      </c>
      <c r="N93" s="48">
        <f t="shared" si="8"/>
        <v>33.818916999999999</v>
      </c>
      <c r="O93" s="48">
        <f t="shared" si="8"/>
        <v>33.818916999999999</v>
      </c>
      <c r="P93" s="48">
        <f t="shared" si="8"/>
        <v>33.818916999999999</v>
      </c>
      <c r="Q93" s="48">
        <f t="shared" si="8"/>
        <v>33.818916999999999</v>
      </c>
      <c r="R93" s="50">
        <f t="shared" si="6"/>
        <v>402.87195299999996</v>
      </c>
    </row>
    <row r="94" spans="2:18" x14ac:dyDescent="0.2">
      <c r="B94" s="49">
        <v>7519</v>
      </c>
      <c r="C94" t="s">
        <v>231</v>
      </c>
      <c r="D94" s="49" t="s">
        <v>232</v>
      </c>
      <c r="F94" s="48">
        <f>0.3142*(F80+F79)</f>
        <v>4.2027391999999999</v>
      </c>
      <c r="G94" s="48">
        <f t="shared" ref="G94:Q94" si="9">0.3142*(G80+G79)</f>
        <v>4.2027391999999999</v>
      </c>
      <c r="H94" s="48">
        <f t="shared" si="9"/>
        <v>4.2027391999999999</v>
      </c>
      <c r="I94" s="48">
        <f t="shared" si="9"/>
        <v>4.3288213759999996</v>
      </c>
      <c r="J94" s="48">
        <f t="shared" si="9"/>
        <v>4.3288213759999996</v>
      </c>
      <c r="K94" s="48">
        <f t="shared" si="9"/>
        <v>4.3288213759999996</v>
      </c>
      <c r="L94" s="48">
        <f t="shared" si="9"/>
        <v>-33.548365664000002</v>
      </c>
      <c r="M94" s="48">
        <f t="shared" si="9"/>
        <v>4.3288213759999996</v>
      </c>
      <c r="N94" s="48">
        <f t="shared" si="9"/>
        <v>4.3288213759999996</v>
      </c>
      <c r="O94" s="48">
        <f t="shared" si="9"/>
        <v>4.3288213759999996</v>
      </c>
      <c r="P94" s="48">
        <f t="shared" si="9"/>
        <v>4.3288213759999996</v>
      </c>
      <c r="Q94" s="48">
        <f t="shared" si="9"/>
        <v>4.3288213759999996</v>
      </c>
      <c r="R94" s="50">
        <f t="shared" si="6"/>
        <v>13.690422943999998</v>
      </c>
    </row>
    <row r="95" spans="2:18" x14ac:dyDescent="0.2">
      <c r="B95" s="49">
        <v>7530</v>
      </c>
      <c r="C95" t="s">
        <v>222</v>
      </c>
      <c r="D95" s="49" t="s">
        <v>233</v>
      </c>
      <c r="F95" s="48">
        <f>F90*0.2426</f>
        <v>1.521102</v>
      </c>
      <c r="G95" s="48">
        <f t="shared" ref="G95:Q95" si="10">G90*0.2426</f>
        <v>1.521102</v>
      </c>
      <c r="H95" s="48">
        <f t="shared" si="10"/>
        <v>1.521102</v>
      </c>
      <c r="I95" s="48">
        <f t="shared" si="10"/>
        <v>1.5667350600000001</v>
      </c>
      <c r="J95" s="48">
        <f t="shared" si="10"/>
        <v>1.5667350600000001</v>
      </c>
      <c r="K95" s="48">
        <f t="shared" si="10"/>
        <v>1.5667350600000001</v>
      </c>
      <c r="L95" s="48">
        <f t="shared" si="10"/>
        <v>1.5667350600000001</v>
      </c>
      <c r="M95" s="48">
        <f t="shared" si="10"/>
        <v>1.5667350600000001</v>
      </c>
      <c r="N95" s="48">
        <f t="shared" si="10"/>
        <v>1.5667350600000001</v>
      </c>
      <c r="O95" s="48">
        <f t="shared" si="10"/>
        <v>1.5667350600000001</v>
      </c>
      <c r="P95" s="48">
        <f t="shared" si="10"/>
        <v>1.5667350600000001</v>
      </c>
      <c r="Q95" s="48">
        <f t="shared" si="10"/>
        <v>1.5667350600000001</v>
      </c>
      <c r="R95" s="50">
        <f t="shared" si="1"/>
        <v>18.663921539999997</v>
      </c>
    </row>
    <row r="96" spans="2:18" x14ac:dyDescent="0.2">
      <c r="B96" s="49">
        <v>7570</v>
      </c>
      <c r="C96" t="s">
        <v>228</v>
      </c>
      <c r="D96" s="49" t="s">
        <v>234</v>
      </c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50">
        <f t="shared" si="1"/>
        <v>0</v>
      </c>
    </row>
    <row r="97" spans="2:18" x14ac:dyDescent="0.2">
      <c r="B97" s="49">
        <v>7610</v>
      </c>
      <c r="C97" t="s">
        <v>235</v>
      </c>
      <c r="D97" s="49" t="s">
        <v>236</v>
      </c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50">
        <f t="shared" si="1"/>
        <v>0</v>
      </c>
    </row>
    <row r="98" spans="2:18" x14ac:dyDescent="0.2">
      <c r="B98" s="49">
        <v>7620</v>
      </c>
      <c r="C98" t="s">
        <v>237</v>
      </c>
      <c r="D98" s="49" t="s">
        <v>238</v>
      </c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50">
        <f t="shared" si="1"/>
        <v>0</v>
      </c>
    </row>
    <row r="99" spans="2:18" x14ac:dyDescent="0.2">
      <c r="B99" s="49">
        <v>7621</v>
      </c>
      <c r="C99" t="s">
        <v>239</v>
      </c>
      <c r="D99" s="49" t="s">
        <v>240</v>
      </c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50">
        <f t="shared" si="1"/>
        <v>0</v>
      </c>
    </row>
    <row r="100" spans="2:18" x14ac:dyDescent="0.2">
      <c r="B100" s="49">
        <v>7622</v>
      </c>
      <c r="C100" t="s">
        <v>241</v>
      </c>
      <c r="D100" s="49" t="s">
        <v>242</v>
      </c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50">
        <f t="shared" si="1"/>
        <v>0</v>
      </c>
    </row>
    <row r="101" spans="2:18" x14ac:dyDescent="0.2">
      <c r="B101" s="49">
        <v>7631</v>
      </c>
      <c r="C101" t="s">
        <v>243</v>
      </c>
      <c r="D101" s="49" t="s">
        <v>244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50">
        <f t="shared" si="1"/>
        <v>0</v>
      </c>
    </row>
    <row r="102" spans="2:18" x14ac:dyDescent="0.2">
      <c r="B102" s="49">
        <v>7632</v>
      </c>
      <c r="C102" t="s">
        <v>245</v>
      </c>
      <c r="D102" s="49" t="s">
        <v>246</v>
      </c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50">
        <f t="shared" si="1"/>
        <v>0</v>
      </c>
    </row>
    <row r="103" spans="2:18" x14ac:dyDescent="0.2">
      <c r="B103" s="49">
        <v>7690</v>
      </c>
      <c r="C103" t="s">
        <v>247</v>
      </c>
      <c r="D103" s="49" t="s">
        <v>248</v>
      </c>
      <c r="F103" s="48">
        <f>89/12</f>
        <v>7.416666666666667</v>
      </c>
      <c r="G103" s="48">
        <f t="shared" ref="G103:Q103" si="11">89/12</f>
        <v>7.416666666666667</v>
      </c>
      <c r="H103" s="48">
        <f t="shared" si="11"/>
        <v>7.416666666666667</v>
      </c>
      <c r="I103" s="48">
        <f t="shared" si="11"/>
        <v>7.416666666666667</v>
      </c>
      <c r="J103" s="48">
        <f t="shared" si="11"/>
        <v>7.416666666666667</v>
      </c>
      <c r="K103" s="48">
        <f t="shared" si="11"/>
        <v>7.416666666666667</v>
      </c>
      <c r="L103" s="48">
        <f t="shared" si="11"/>
        <v>7.416666666666667</v>
      </c>
      <c r="M103" s="48">
        <f t="shared" si="11"/>
        <v>7.416666666666667</v>
      </c>
      <c r="N103" s="48">
        <f t="shared" si="11"/>
        <v>7.416666666666667</v>
      </c>
      <c r="O103" s="48">
        <f t="shared" si="11"/>
        <v>7.416666666666667</v>
      </c>
      <c r="P103" s="48">
        <f t="shared" si="11"/>
        <v>7.416666666666667</v>
      </c>
      <c r="Q103" s="48">
        <f t="shared" si="11"/>
        <v>7.416666666666667</v>
      </c>
      <c r="R103" s="50">
        <f t="shared" si="1"/>
        <v>89.000000000000014</v>
      </c>
    </row>
    <row r="104" spans="2:18" x14ac:dyDescent="0.2">
      <c r="B104" s="49">
        <v>7691</v>
      </c>
      <c r="C104" t="s">
        <v>249</v>
      </c>
      <c r="D104" s="49" t="s">
        <v>250</v>
      </c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50">
        <f t="shared" si="1"/>
        <v>0</v>
      </c>
    </row>
    <row r="105" spans="2:18" x14ac:dyDescent="0.2">
      <c r="B105" s="49">
        <v>7692</v>
      </c>
      <c r="C105" t="s">
        <v>251</v>
      </c>
      <c r="D105" s="49" t="s">
        <v>252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50"/>
    </row>
    <row r="106" spans="2:18" x14ac:dyDescent="0.2">
      <c r="F106" s="53">
        <f>SUM(F2:F104)</f>
        <v>190.12040786666668</v>
      </c>
      <c r="G106" s="53">
        <f t="shared" ref="G106:R106" si="12">SUM(G2:G104)</f>
        <v>190.12040786666668</v>
      </c>
      <c r="H106" s="53">
        <f t="shared" si="12"/>
        <v>190.12040786666668</v>
      </c>
      <c r="I106" s="53">
        <f t="shared" si="12"/>
        <v>195.00152010266669</v>
      </c>
      <c r="J106" s="53">
        <f t="shared" si="12"/>
        <v>195.00152010266669</v>
      </c>
      <c r="K106" s="53">
        <f t="shared" si="12"/>
        <v>195.00152010266669</v>
      </c>
      <c r="L106" s="53">
        <f t="shared" si="12"/>
        <v>36.573133062666663</v>
      </c>
      <c r="M106" s="53">
        <f t="shared" si="12"/>
        <v>195.00152010266669</v>
      </c>
      <c r="N106" s="53">
        <f t="shared" si="12"/>
        <v>195.00152010266669</v>
      </c>
      <c r="O106" s="53">
        <f t="shared" si="12"/>
        <v>195.00152010266669</v>
      </c>
      <c r="P106" s="53">
        <f t="shared" si="12"/>
        <v>195.00152010266669</v>
      </c>
      <c r="Q106" s="53">
        <f t="shared" si="12"/>
        <v>195.00152010266669</v>
      </c>
      <c r="R106" s="53">
        <f t="shared" si="12"/>
        <v>2166.9465174840002</v>
      </c>
    </row>
    <row r="108" spans="2:18" x14ac:dyDescent="0.2">
      <c r="E108" t="s">
        <v>253</v>
      </c>
      <c r="F108" s="28">
        <f>SUM(F2:F71)</f>
        <v>20</v>
      </c>
      <c r="G108" s="28">
        <f t="shared" ref="G108:R108" si="13">SUM(G2:G71)</f>
        <v>20</v>
      </c>
      <c r="H108" s="28">
        <f t="shared" si="13"/>
        <v>20</v>
      </c>
      <c r="I108" s="28">
        <f t="shared" si="13"/>
        <v>20</v>
      </c>
      <c r="J108" s="28">
        <f t="shared" si="13"/>
        <v>20</v>
      </c>
      <c r="K108" s="28">
        <f t="shared" si="13"/>
        <v>20</v>
      </c>
      <c r="L108" s="28">
        <f>SUM(L2:L71)</f>
        <v>20</v>
      </c>
      <c r="M108" s="28">
        <f t="shared" si="13"/>
        <v>20</v>
      </c>
      <c r="N108" s="28">
        <f t="shared" si="13"/>
        <v>20</v>
      </c>
      <c r="O108" s="28">
        <f t="shared" si="13"/>
        <v>20</v>
      </c>
      <c r="P108" s="28">
        <f t="shared" si="13"/>
        <v>20</v>
      </c>
      <c r="Q108" s="28">
        <f t="shared" si="13"/>
        <v>20</v>
      </c>
      <c r="R108" s="28">
        <f t="shared" si="13"/>
        <v>240</v>
      </c>
    </row>
    <row r="109" spans="2:18" x14ac:dyDescent="0.2">
      <c r="E109" t="s">
        <v>254</v>
      </c>
      <c r="F109">
        <f>SUM(F72:F104)</f>
        <v>170.12040786666665</v>
      </c>
      <c r="G109">
        <f t="shared" ref="G109:R109" si="14">SUM(G72:G104)</f>
        <v>170.12040786666665</v>
      </c>
      <c r="H109">
        <f t="shared" si="14"/>
        <v>170.12040786666665</v>
      </c>
      <c r="I109">
        <f t="shared" si="14"/>
        <v>175.00152010266669</v>
      </c>
      <c r="J109">
        <f t="shared" si="14"/>
        <v>175.00152010266669</v>
      </c>
      <c r="K109">
        <f t="shared" si="14"/>
        <v>175.00152010266669</v>
      </c>
      <c r="L109">
        <f t="shared" si="14"/>
        <v>16.573133062666667</v>
      </c>
      <c r="M109">
        <f t="shared" si="14"/>
        <v>175.00152010266669</v>
      </c>
      <c r="N109">
        <f t="shared" si="14"/>
        <v>175.00152010266669</v>
      </c>
      <c r="O109">
        <f t="shared" si="14"/>
        <v>175.00152010266669</v>
      </c>
      <c r="P109">
        <f t="shared" si="14"/>
        <v>175.00152010266669</v>
      </c>
      <c r="Q109">
        <f t="shared" si="14"/>
        <v>175.00152010266669</v>
      </c>
      <c r="R109">
        <f t="shared" si="14"/>
        <v>1926.946517484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D7D5-5AE5-4CF6-8419-0CEA8357FA8D}">
  <sheetPr>
    <tabColor rgb="FF92D050"/>
  </sheetPr>
  <dimension ref="B1:AG109"/>
  <sheetViews>
    <sheetView workbookViewId="0">
      <selection activeCell="A9" sqref="A9"/>
    </sheetView>
  </sheetViews>
  <sheetFormatPr defaultRowHeight="15" x14ac:dyDescent="0.2"/>
  <cols>
    <col min="1" max="1" width="11.02734375" bestFit="1" customWidth="1"/>
    <col min="2" max="2" width="6.3203125" bestFit="1" customWidth="1"/>
    <col min="3" max="3" width="49.234375" bestFit="1" customWidth="1"/>
    <col min="4" max="4" width="53.80859375" bestFit="1" customWidth="1"/>
    <col min="5" max="5" width="8.7421875" bestFit="1" customWidth="1"/>
    <col min="6" max="17" width="8.875" customWidth="1"/>
    <col min="18" max="18" width="11.703125" bestFit="1" customWidth="1"/>
    <col min="19" max="20" width="10.35546875" bestFit="1" customWidth="1"/>
    <col min="21" max="21" width="22.46484375" bestFit="1" customWidth="1"/>
    <col min="22" max="48" width="10.35546875" bestFit="1" customWidth="1"/>
    <col min="49" max="49" width="10.76171875" bestFit="1" customWidth="1"/>
    <col min="50" max="51" width="10.35546875" bestFit="1" customWidth="1"/>
    <col min="52" max="52" width="10.76171875" bestFit="1" customWidth="1"/>
    <col min="53" max="64" width="10.35546875" bestFit="1" customWidth="1"/>
    <col min="65" max="65" width="11.97265625" bestFit="1" customWidth="1"/>
  </cols>
  <sheetData>
    <row r="1" spans="2:33" x14ac:dyDescent="0.2">
      <c r="B1" t="s">
        <v>40</v>
      </c>
      <c r="C1" t="s">
        <v>41</v>
      </c>
      <c r="D1" t="s">
        <v>42</v>
      </c>
      <c r="F1" s="48">
        <v>2601</v>
      </c>
      <c r="G1" s="48">
        <v>2602</v>
      </c>
      <c r="H1" s="48">
        <v>2603</v>
      </c>
      <c r="I1" s="48">
        <v>2604</v>
      </c>
      <c r="J1" s="48">
        <v>2605</v>
      </c>
      <c r="K1" s="48">
        <v>2606</v>
      </c>
      <c r="L1" s="48">
        <v>2607</v>
      </c>
      <c r="M1" s="48">
        <v>2608</v>
      </c>
      <c r="N1" s="48">
        <v>2609</v>
      </c>
      <c r="O1" s="48">
        <v>2610</v>
      </c>
      <c r="P1" s="48">
        <v>2611</v>
      </c>
      <c r="Q1" s="48">
        <v>2612</v>
      </c>
      <c r="R1" s="48" t="s">
        <v>43</v>
      </c>
      <c r="U1" t="s">
        <v>255</v>
      </c>
      <c r="V1" s="48">
        <v>2601</v>
      </c>
      <c r="W1" s="48">
        <v>2602</v>
      </c>
      <c r="X1" s="48">
        <v>2603</v>
      </c>
      <c r="Y1" s="48">
        <v>2604</v>
      </c>
      <c r="Z1" s="48">
        <v>2605</v>
      </c>
      <c r="AA1" s="48">
        <v>2606</v>
      </c>
      <c r="AB1" s="48">
        <v>2607</v>
      </c>
      <c r="AC1" s="48">
        <v>2608</v>
      </c>
      <c r="AD1" s="48">
        <v>2609</v>
      </c>
      <c r="AE1" s="48">
        <v>2610</v>
      </c>
      <c r="AF1" s="48">
        <v>2611</v>
      </c>
      <c r="AG1" s="48">
        <v>2612</v>
      </c>
    </row>
    <row r="2" spans="2:33" x14ac:dyDescent="0.2">
      <c r="B2" s="49">
        <v>5010</v>
      </c>
      <c r="C2" t="s">
        <v>44</v>
      </c>
      <c r="D2" s="49" t="s">
        <v>45</v>
      </c>
      <c r="F2" s="50">
        <v>45</v>
      </c>
      <c r="G2" s="50">
        <v>45</v>
      </c>
      <c r="H2" s="50">
        <v>45</v>
      </c>
      <c r="I2" s="50">
        <v>45</v>
      </c>
      <c r="J2" s="50">
        <v>45</v>
      </c>
      <c r="K2" s="50">
        <v>45</v>
      </c>
      <c r="L2" s="50">
        <v>45</v>
      </c>
      <c r="M2" s="50">
        <v>45</v>
      </c>
      <c r="N2" s="50">
        <v>45</v>
      </c>
      <c r="O2" s="50">
        <v>45</v>
      </c>
      <c r="P2" s="50">
        <v>45</v>
      </c>
      <c r="Q2" s="50">
        <v>45</v>
      </c>
      <c r="R2" s="50">
        <f>SUM(F2:Q2)</f>
        <v>540</v>
      </c>
      <c r="V2" s="28">
        <f>F2+'Ny lokal'!F2</f>
        <v>45</v>
      </c>
      <c r="W2" s="28">
        <f>G2+'Ny lokal'!G2</f>
        <v>45</v>
      </c>
      <c r="X2" s="28">
        <f>H2+'Ny lokal'!H2</f>
        <v>45</v>
      </c>
      <c r="Y2" s="28">
        <f>I2+'Ny lokal'!I2</f>
        <v>45</v>
      </c>
      <c r="Z2" s="28">
        <f>J2+'Ny lokal'!J2</f>
        <v>45</v>
      </c>
      <c r="AA2" s="28">
        <f>K2+'Ny lokal'!K2</f>
        <v>65.833333333333343</v>
      </c>
      <c r="AB2" s="28">
        <f>L2+'Ny lokal'!L2</f>
        <v>65.833333333333343</v>
      </c>
      <c r="AC2" s="28">
        <f>M2+'Ny lokal'!M2</f>
        <v>65.833333333333343</v>
      </c>
      <c r="AD2" s="28">
        <f>N2+'Ny lokal'!N2</f>
        <v>65.833333333333343</v>
      </c>
      <c r="AE2" s="28">
        <f>O2+'Ny lokal'!O2</f>
        <v>65.833333333333343</v>
      </c>
      <c r="AF2" s="28">
        <f>P2+'Ny lokal'!P2</f>
        <v>65.833333333333343</v>
      </c>
      <c r="AG2" s="28">
        <f>Q2+'Ny lokal'!Q2</f>
        <v>65.833333333333343</v>
      </c>
    </row>
    <row r="3" spans="2:33" x14ac:dyDescent="0.2">
      <c r="B3" s="49">
        <v>5020</v>
      </c>
      <c r="C3" t="s">
        <v>46</v>
      </c>
      <c r="D3" s="49" t="s">
        <v>47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>
        <f t="shared" ref="R3:R66" si="0">SUM(F3:Q3)</f>
        <v>0</v>
      </c>
      <c r="V3" s="28">
        <f>F3+'Ny lokal'!F3</f>
        <v>0</v>
      </c>
      <c r="W3" s="28">
        <f>G3+'Ny lokal'!G3</f>
        <v>0</v>
      </c>
      <c r="X3" s="28">
        <f>H3+'Ny lokal'!H3</f>
        <v>0</v>
      </c>
      <c r="Y3" s="28">
        <f>I3+'Ny lokal'!I3</f>
        <v>0</v>
      </c>
      <c r="Z3" s="28">
        <f>J3+'Ny lokal'!J3</f>
        <v>0</v>
      </c>
      <c r="AA3" s="28">
        <f>K3+'Ny lokal'!K3</f>
        <v>0</v>
      </c>
      <c r="AB3" s="28">
        <f>L3+'Ny lokal'!L3</f>
        <v>0</v>
      </c>
      <c r="AC3" s="28">
        <f>M3+'Ny lokal'!M3</f>
        <v>0</v>
      </c>
      <c r="AD3" s="28">
        <f>N3+'Ny lokal'!N3</f>
        <v>0</v>
      </c>
      <c r="AE3" s="28">
        <f>O3+'Ny lokal'!O3</f>
        <v>0</v>
      </c>
      <c r="AF3" s="28">
        <f>P3+'Ny lokal'!P3</f>
        <v>0</v>
      </c>
      <c r="AG3" s="28">
        <f>Q3+'Ny lokal'!Q3</f>
        <v>0</v>
      </c>
    </row>
    <row r="4" spans="2:33" x14ac:dyDescent="0.2">
      <c r="B4" s="49">
        <v>5030</v>
      </c>
      <c r="C4" t="s">
        <v>48</v>
      </c>
      <c r="D4" s="49" t="s">
        <v>49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50">
        <f t="shared" si="0"/>
        <v>0</v>
      </c>
      <c r="V4" s="28">
        <f>F4+'Ny lokal'!F4</f>
        <v>0</v>
      </c>
      <c r="W4" s="28">
        <f>G4+'Ny lokal'!G4</f>
        <v>0</v>
      </c>
      <c r="X4" s="28">
        <f>H4+'Ny lokal'!H4</f>
        <v>0</v>
      </c>
      <c r="Y4" s="28">
        <f>I4+'Ny lokal'!I4</f>
        <v>0</v>
      </c>
      <c r="Z4" s="28">
        <f>J4+'Ny lokal'!J4</f>
        <v>0</v>
      </c>
      <c r="AA4" s="28">
        <f>K4+'Ny lokal'!K4</f>
        <v>8.75</v>
      </c>
      <c r="AB4" s="28">
        <f>L4+'Ny lokal'!L4</f>
        <v>8.75</v>
      </c>
      <c r="AC4" s="28">
        <f>M4+'Ny lokal'!M4</f>
        <v>8.75</v>
      </c>
      <c r="AD4" s="28">
        <f>N4+'Ny lokal'!N4</f>
        <v>8.75</v>
      </c>
      <c r="AE4" s="28">
        <f>O4+'Ny lokal'!O4</f>
        <v>8.75</v>
      </c>
      <c r="AF4" s="28">
        <f>P4+'Ny lokal'!P4</f>
        <v>8.75</v>
      </c>
      <c r="AG4" s="28">
        <f>Q4+'Ny lokal'!Q4</f>
        <v>8.75</v>
      </c>
    </row>
    <row r="5" spans="2:33" x14ac:dyDescent="0.2">
      <c r="B5" s="49">
        <v>5060</v>
      </c>
      <c r="C5" t="s">
        <v>50</v>
      </c>
      <c r="D5" s="49" t="s">
        <v>51</v>
      </c>
      <c r="F5" s="48">
        <v>6</v>
      </c>
      <c r="G5" s="48">
        <v>6</v>
      </c>
      <c r="H5" s="48">
        <v>6</v>
      </c>
      <c r="I5" s="48">
        <v>6</v>
      </c>
      <c r="J5" s="48">
        <v>6</v>
      </c>
      <c r="K5" s="48">
        <v>6</v>
      </c>
      <c r="L5" s="48">
        <v>6</v>
      </c>
      <c r="M5" s="48">
        <v>6</v>
      </c>
      <c r="N5" s="48">
        <v>6</v>
      </c>
      <c r="O5" s="48">
        <v>6</v>
      </c>
      <c r="P5" s="48">
        <v>6</v>
      </c>
      <c r="Q5" s="48">
        <v>6</v>
      </c>
      <c r="R5" s="50">
        <f t="shared" si="0"/>
        <v>72</v>
      </c>
      <c r="V5" s="28">
        <f>F5+'Ny lokal'!F5</f>
        <v>6</v>
      </c>
      <c r="W5" s="28">
        <f>G5+'Ny lokal'!G5</f>
        <v>6</v>
      </c>
      <c r="X5" s="28">
        <f>H5+'Ny lokal'!H5</f>
        <v>6</v>
      </c>
      <c r="Y5" s="28">
        <f>I5+'Ny lokal'!I5</f>
        <v>6</v>
      </c>
      <c r="Z5" s="28">
        <f>J5+'Ny lokal'!J5</f>
        <v>6</v>
      </c>
      <c r="AA5" s="28">
        <f>K5+'Ny lokal'!K5</f>
        <v>6</v>
      </c>
      <c r="AB5" s="28">
        <f>L5+'Ny lokal'!L5</f>
        <v>6</v>
      </c>
      <c r="AC5" s="28">
        <f>M5+'Ny lokal'!M5</f>
        <v>6</v>
      </c>
      <c r="AD5" s="28">
        <f>N5+'Ny lokal'!N5</f>
        <v>6</v>
      </c>
      <c r="AE5" s="28">
        <f>O5+'Ny lokal'!O5</f>
        <v>6</v>
      </c>
      <c r="AF5" s="28">
        <f>P5+'Ny lokal'!P5</f>
        <v>6</v>
      </c>
      <c r="AG5" s="28">
        <f>Q5+'Ny lokal'!Q5</f>
        <v>6</v>
      </c>
    </row>
    <row r="6" spans="2:33" x14ac:dyDescent="0.2">
      <c r="B6" s="49">
        <v>5061</v>
      </c>
      <c r="C6" t="s">
        <v>52</v>
      </c>
      <c r="D6" s="49" t="s">
        <v>53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50">
        <f t="shared" si="0"/>
        <v>0</v>
      </c>
      <c r="V6" s="28">
        <f>F6+'Ny lokal'!F6</f>
        <v>0</v>
      </c>
      <c r="W6" s="28">
        <f>G6+'Ny lokal'!G6</f>
        <v>0</v>
      </c>
      <c r="X6" s="28">
        <f>H6+'Ny lokal'!H6</f>
        <v>0</v>
      </c>
      <c r="Y6" s="28">
        <f>I6+'Ny lokal'!I6</f>
        <v>0</v>
      </c>
      <c r="Z6" s="28">
        <f>J6+'Ny lokal'!J6</f>
        <v>0</v>
      </c>
      <c r="AA6" s="28">
        <f>K6+'Ny lokal'!K6</f>
        <v>0</v>
      </c>
      <c r="AB6" s="28">
        <f>L6+'Ny lokal'!L6</f>
        <v>0</v>
      </c>
      <c r="AC6" s="28">
        <f>M6+'Ny lokal'!M6</f>
        <v>0</v>
      </c>
      <c r="AD6" s="28">
        <f>N6+'Ny lokal'!N6</f>
        <v>0</v>
      </c>
      <c r="AE6" s="28">
        <f>O6+'Ny lokal'!O6</f>
        <v>0</v>
      </c>
      <c r="AF6" s="28">
        <f>P6+'Ny lokal'!P6</f>
        <v>0</v>
      </c>
      <c r="AG6" s="28">
        <f>Q6+'Ny lokal'!Q6</f>
        <v>0</v>
      </c>
    </row>
    <row r="7" spans="2:33" x14ac:dyDescent="0.2">
      <c r="B7" s="49">
        <v>5070</v>
      </c>
      <c r="C7" t="s">
        <v>54</v>
      </c>
      <c r="D7" s="49" t="s">
        <v>55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50">
        <f t="shared" si="0"/>
        <v>0</v>
      </c>
      <c r="V7" s="28">
        <f>F7+'Ny lokal'!F7</f>
        <v>0</v>
      </c>
      <c r="W7" s="28">
        <f>G7+'Ny lokal'!G7</f>
        <v>0</v>
      </c>
      <c r="X7" s="28">
        <f>H7+'Ny lokal'!H7</f>
        <v>0</v>
      </c>
      <c r="Y7" s="28">
        <f>I7+'Ny lokal'!I7</f>
        <v>0</v>
      </c>
      <c r="Z7" s="28">
        <f>J7+'Ny lokal'!J7</f>
        <v>0</v>
      </c>
      <c r="AA7" s="28">
        <f>K7+'Ny lokal'!K7</f>
        <v>0</v>
      </c>
      <c r="AB7" s="28">
        <f>L7+'Ny lokal'!L7</f>
        <v>0</v>
      </c>
      <c r="AC7" s="28">
        <f>M7+'Ny lokal'!M7</f>
        <v>0</v>
      </c>
      <c r="AD7" s="28">
        <f>N7+'Ny lokal'!N7</f>
        <v>0</v>
      </c>
      <c r="AE7" s="28">
        <f>O7+'Ny lokal'!O7</f>
        <v>0</v>
      </c>
      <c r="AF7" s="28">
        <f>P7+'Ny lokal'!P7</f>
        <v>0</v>
      </c>
      <c r="AG7" s="28">
        <f>Q7+'Ny lokal'!Q7</f>
        <v>0</v>
      </c>
    </row>
    <row r="8" spans="2:33" x14ac:dyDescent="0.2">
      <c r="B8" s="49">
        <v>5071</v>
      </c>
      <c r="C8" t="s">
        <v>56</v>
      </c>
      <c r="D8" s="49" t="s">
        <v>57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50">
        <f t="shared" si="0"/>
        <v>0</v>
      </c>
      <c r="V8" s="28">
        <f>F8+'Ny lokal'!F8</f>
        <v>0</v>
      </c>
      <c r="W8" s="28">
        <f>G8+'Ny lokal'!G8</f>
        <v>0</v>
      </c>
      <c r="X8" s="28">
        <f>H8+'Ny lokal'!H8</f>
        <v>0</v>
      </c>
      <c r="Y8" s="28">
        <f>I8+'Ny lokal'!I8</f>
        <v>0</v>
      </c>
      <c r="Z8" s="28">
        <f>J8+'Ny lokal'!J8</f>
        <v>0</v>
      </c>
      <c r="AA8" s="28">
        <f>K8+'Ny lokal'!K8</f>
        <v>0</v>
      </c>
      <c r="AB8" s="28">
        <f>L8+'Ny lokal'!L8</f>
        <v>0</v>
      </c>
      <c r="AC8" s="28">
        <f>M8+'Ny lokal'!M8</f>
        <v>0</v>
      </c>
      <c r="AD8" s="28">
        <f>N8+'Ny lokal'!N8</f>
        <v>0</v>
      </c>
      <c r="AE8" s="28">
        <f>O8+'Ny lokal'!O8</f>
        <v>0</v>
      </c>
      <c r="AF8" s="28">
        <f>P8+'Ny lokal'!P8</f>
        <v>0</v>
      </c>
      <c r="AG8" s="28">
        <f>Q8+'Ny lokal'!Q8</f>
        <v>0</v>
      </c>
    </row>
    <row r="9" spans="2:33" x14ac:dyDescent="0.2">
      <c r="B9" s="49">
        <v>5090</v>
      </c>
      <c r="C9" t="s">
        <v>58</v>
      </c>
      <c r="D9" s="49" t="s">
        <v>59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50">
        <f t="shared" si="0"/>
        <v>0</v>
      </c>
      <c r="V9" s="28">
        <f>F9+'Ny lokal'!F9</f>
        <v>0</v>
      </c>
      <c r="W9" s="28">
        <f>G9+'Ny lokal'!G9</f>
        <v>0</v>
      </c>
      <c r="X9" s="28">
        <f>H9+'Ny lokal'!H9</f>
        <v>0</v>
      </c>
      <c r="Y9" s="28">
        <f>I9+'Ny lokal'!I9</f>
        <v>0</v>
      </c>
      <c r="Z9" s="28">
        <f>J9+'Ny lokal'!J9</f>
        <v>0</v>
      </c>
      <c r="AA9" s="28">
        <f>K9+'Ny lokal'!K9</f>
        <v>200</v>
      </c>
      <c r="AB9" s="28">
        <f>L9+'Ny lokal'!L9</f>
        <v>18.083333333333332</v>
      </c>
      <c r="AC9" s="28">
        <f>M9+'Ny lokal'!M9</f>
        <v>18.083333333333332</v>
      </c>
      <c r="AD9" s="28">
        <f>N9+'Ny lokal'!N9</f>
        <v>18.083333333333332</v>
      </c>
      <c r="AE9" s="28">
        <f>O9+'Ny lokal'!O9</f>
        <v>18.083333333333332</v>
      </c>
      <c r="AF9" s="28">
        <f>P9+'Ny lokal'!P9</f>
        <v>18.083333333333332</v>
      </c>
      <c r="AG9" s="28">
        <f>Q9+'Ny lokal'!Q9</f>
        <v>18.083333333333332</v>
      </c>
    </row>
    <row r="10" spans="2:33" x14ac:dyDescent="0.2">
      <c r="B10" s="49">
        <v>5222</v>
      </c>
      <c r="C10" t="s">
        <v>60</v>
      </c>
      <c r="D10" s="49" t="s">
        <v>61</v>
      </c>
      <c r="F10" s="48">
        <v>5</v>
      </c>
      <c r="G10" s="48">
        <v>5</v>
      </c>
      <c r="H10" s="48">
        <v>5</v>
      </c>
      <c r="I10" s="48">
        <v>5</v>
      </c>
      <c r="J10" s="48">
        <v>5</v>
      </c>
      <c r="K10" s="48">
        <v>5</v>
      </c>
      <c r="L10" s="48">
        <v>5</v>
      </c>
      <c r="M10" s="48">
        <v>5</v>
      </c>
      <c r="N10" s="48">
        <v>5</v>
      </c>
      <c r="O10" s="48">
        <v>5</v>
      </c>
      <c r="P10" s="48">
        <v>5</v>
      </c>
      <c r="Q10" s="48">
        <v>5</v>
      </c>
      <c r="R10" s="50">
        <f t="shared" si="0"/>
        <v>60</v>
      </c>
      <c r="S10" t="s">
        <v>256</v>
      </c>
      <c r="V10" s="28">
        <f>F10+'Ny lokal'!F10</f>
        <v>5</v>
      </c>
      <c r="W10" s="28">
        <f>G10+'Ny lokal'!G10</f>
        <v>5</v>
      </c>
      <c r="X10" s="28">
        <f>H10+'Ny lokal'!H10</f>
        <v>5</v>
      </c>
      <c r="Y10" s="28">
        <f>I10+'Ny lokal'!I10</f>
        <v>5</v>
      </c>
      <c r="Z10" s="28">
        <f>J10+'Ny lokal'!J10</f>
        <v>5</v>
      </c>
      <c r="AA10" s="28">
        <f>K10+'Ny lokal'!K10</f>
        <v>5</v>
      </c>
      <c r="AB10" s="28">
        <f>L10+'Ny lokal'!L10</f>
        <v>5</v>
      </c>
      <c r="AC10" s="28">
        <f>M10+'Ny lokal'!M10</f>
        <v>5</v>
      </c>
      <c r="AD10" s="28">
        <f>N10+'Ny lokal'!N10</f>
        <v>5</v>
      </c>
      <c r="AE10" s="28">
        <f>O10+'Ny lokal'!O10</f>
        <v>5</v>
      </c>
      <c r="AF10" s="28">
        <f>P10+'Ny lokal'!P10</f>
        <v>5</v>
      </c>
      <c r="AG10" s="28">
        <f>Q10+'Ny lokal'!Q10</f>
        <v>5</v>
      </c>
    </row>
    <row r="11" spans="2:33" x14ac:dyDescent="0.2">
      <c r="B11" s="49">
        <v>5410</v>
      </c>
      <c r="C11" t="s">
        <v>62</v>
      </c>
      <c r="D11" s="49" t="s">
        <v>63</v>
      </c>
      <c r="F11" s="48">
        <v>5</v>
      </c>
      <c r="G11" s="48">
        <v>5</v>
      </c>
      <c r="H11" s="48">
        <v>5</v>
      </c>
      <c r="I11" s="48">
        <v>5</v>
      </c>
      <c r="J11" s="48">
        <v>5</v>
      </c>
      <c r="K11" s="48">
        <v>5</v>
      </c>
      <c r="L11" s="48">
        <v>5</v>
      </c>
      <c r="M11" s="48">
        <v>5</v>
      </c>
      <c r="N11" s="48">
        <v>5</v>
      </c>
      <c r="O11" s="48">
        <v>5</v>
      </c>
      <c r="P11" s="48">
        <v>5</v>
      </c>
      <c r="Q11" s="48">
        <v>5</v>
      </c>
      <c r="R11" s="50">
        <f t="shared" si="0"/>
        <v>60</v>
      </c>
      <c r="V11" s="28">
        <f>F11+'Ny lokal'!F11</f>
        <v>5</v>
      </c>
      <c r="W11" s="28">
        <f>G11+'Ny lokal'!G11</f>
        <v>5</v>
      </c>
      <c r="X11" s="28">
        <f>H11+'Ny lokal'!H11</f>
        <v>5</v>
      </c>
      <c r="Y11" s="28">
        <f>I11+'Ny lokal'!I11</f>
        <v>5</v>
      </c>
      <c r="Z11" s="28">
        <f>J11+'Ny lokal'!J11</f>
        <v>5</v>
      </c>
      <c r="AA11" s="28">
        <f>K11+'Ny lokal'!K11</f>
        <v>5</v>
      </c>
      <c r="AB11" s="28">
        <f>L11+'Ny lokal'!L11</f>
        <v>5</v>
      </c>
      <c r="AC11" s="28">
        <f>M11+'Ny lokal'!M11</f>
        <v>5</v>
      </c>
      <c r="AD11" s="28">
        <f>N11+'Ny lokal'!N11</f>
        <v>5</v>
      </c>
      <c r="AE11" s="28">
        <f>O11+'Ny lokal'!O11</f>
        <v>5</v>
      </c>
      <c r="AF11" s="28">
        <f>P11+'Ny lokal'!P11</f>
        <v>5</v>
      </c>
      <c r="AG11" s="28">
        <f>Q11+'Ny lokal'!Q11</f>
        <v>5</v>
      </c>
    </row>
    <row r="12" spans="2:33" x14ac:dyDescent="0.2">
      <c r="B12" s="49">
        <v>5420</v>
      </c>
      <c r="C12" t="s">
        <v>64</v>
      </c>
      <c r="D12" s="49" t="s">
        <v>65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50">
        <f t="shared" si="0"/>
        <v>0</v>
      </c>
      <c r="V12" s="28">
        <f>F12+'Ny lokal'!F12</f>
        <v>0</v>
      </c>
      <c r="W12" s="28">
        <f>G12+'Ny lokal'!G12</f>
        <v>0</v>
      </c>
      <c r="X12" s="28">
        <f>H12+'Ny lokal'!H12</f>
        <v>0</v>
      </c>
      <c r="Y12" s="28">
        <f>I12+'Ny lokal'!I12</f>
        <v>0</v>
      </c>
      <c r="Z12" s="28">
        <f>J12+'Ny lokal'!J12</f>
        <v>0</v>
      </c>
      <c r="AA12" s="28">
        <f>K12+'Ny lokal'!K12</f>
        <v>0</v>
      </c>
      <c r="AB12" s="28">
        <f>L12+'Ny lokal'!L12</f>
        <v>0</v>
      </c>
      <c r="AC12" s="28">
        <f>M12+'Ny lokal'!M12</f>
        <v>0</v>
      </c>
      <c r="AD12" s="28">
        <f>N12+'Ny lokal'!N12</f>
        <v>0</v>
      </c>
      <c r="AE12" s="28">
        <f>O12+'Ny lokal'!O12</f>
        <v>0</v>
      </c>
      <c r="AF12" s="28">
        <f>P12+'Ny lokal'!P12</f>
        <v>0</v>
      </c>
      <c r="AG12" s="28">
        <f>Q12+'Ny lokal'!Q12</f>
        <v>0</v>
      </c>
    </row>
    <row r="13" spans="2:33" x14ac:dyDescent="0.2">
      <c r="B13" s="49">
        <v>5440</v>
      </c>
      <c r="C13" t="s">
        <v>66</v>
      </c>
      <c r="D13" s="49" t="s">
        <v>67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0">
        <f t="shared" si="0"/>
        <v>0</v>
      </c>
      <c r="V13" s="28">
        <f>F13+'Ny lokal'!F13</f>
        <v>0</v>
      </c>
      <c r="W13" s="28">
        <f>G13+'Ny lokal'!G13</f>
        <v>0</v>
      </c>
      <c r="X13" s="28">
        <f>H13+'Ny lokal'!H13</f>
        <v>0</v>
      </c>
      <c r="Y13" s="28">
        <f>I13+'Ny lokal'!I13</f>
        <v>0</v>
      </c>
      <c r="Z13" s="28">
        <f>J13+'Ny lokal'!J13</f>
        <v>0</v>
      </c>
      <c r="AA13" s="28">
        <f>K13+'Ny lokal'!K13</f>
        <v>0</v>
      </c>
      <c r="AB13" s="28">
        <f>L13+'Ny lokal'!L13</f>
        <v>0</v>
      </c>
      <c r="AC13" s="28">
        <f>M13+'Ny lokal'!M13</f>
        <v>0</v>
      </c>
      <c r="AD13" s="28">
        <f>N13+'Ny lokal'!N13</f>
        <v>0</v>
      </c>
      <c r="AE13" s="28">
        <f>O13+'Ny lokal'!O13</f>
        <v>0</v>
      </c>
      <c r="AF13" s="28">
        <f>P13+'Ny lokal'!P13</f>
        <v>0</v>
      </c>
      <c r="AG13" s="28">
        <f>Q13+'Ny lokal'!Q13</f>
        <v>0</v>
      </c>
    </row>
    <row r="14" spans="2:33" x14ac:dyDescent="0.2">
      <c r="B14" s="49">
        <v>5460</v>
      </c>
      <c r="C14" t="s">
        <v>68</v>
      </c>
      <c r="D14" s="49" t="s">
        <v>69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50">
        <f t="shared" si="0"/>
        <v>0</v>
      </c>
      <c r="V14" s="28">
        <f>F14+'Ny lokal'!F14</f>
        <v>0</v>
      </c>
      <c r="W14" s="28">
        <f>G14+'Ny lokal'!G14</f>
        <v>0</v>
      </c>
      <c r="X14" s="28">
        <f>H14+'Ny lokal'!H14</f>
        <v>0</v>
      </c>
      <c r="Y14" s="28">
        <f>I14+'Ny lokal'!I14</f>
        <v>0</v>
      </c>
      <c r="Z14" s="28">
        <f>J14+'Ny lokal'!J14</f>
        <v>0</v>
      </c>
      <c r="AA14" s="28">
        <f>K14+'Ny lokal'!K14</f>
        <v>0</v>
      </c>
      <c r="AB14" s="28">
        <f>L14+'Ny lokal'!L14</f>
        <v>0</v>
      </c>
      <c r="AC14" s="28">
        <f>M14+'Ny lokal'!M14</f>
        <v>0</v>
      </c>
      <c r="AD14" s="28">
        <f>N14+'Ny lokal'!N14</f>
        <v>0</v>
      </c>
      <c r="AE14" s="28">
        <f>O14+'Ny lokal'!O14</f>
        <v>0</v>
      </c>
      <c r="AF14" s="28">
        <f>P14+'Ny lokal'!P14</f>
        <v>0</v>
      </c>
      <c r="AG14" s="28">
        <f>Q14+'Ny lokal'!Q14</f>
        <v>0</v>
      </c>
    </row>
    <row r="15" spans="2:33" x14ac:dyDescent="0.2">
      <c r="B15" s="49">
        <v>5462</v>
      </c>
      <c r="C15" t="s">
        <v>70</v>
      </c>
      <c r="D15" s="51" t="s">
        <v>71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0">
        <f t="shared" si="0"/>
        <v>0</v>
      </c>
      <c r="V15" s="28">
        <f>F15+'Ny lokal'!F15</f>
        <v>0</v>
      </c>
      <c r="W15" s="28">
        <f>G15+'Ny lokal'!G15</f>
        <v>0</v>
      </c>
      <c r="X15" s="28">
        <f>H15+'Ny lokal'!H15</f>
        <v>0</v>
      </c>
      <c r="Y15" s="28">
        <f>I15+'Ny lokal'!I15</f>
        <v>0</v>
      </c>
      <c r="Z15" s="28">
        <f>J15+'Ny lokal'!J15</f>
        <v>0</v>
      </c>
      <c r="AA15" s="28">
        <f>K15+'Ny lokal'!K15</f>
        <v>0</v>
      </c>
      <c r="AB15" s="28">
        <f>L15+'Ny lokal'!L15</f>
        <v>0</v>
      </c>
      <c r="AC15" s="28">
        <f>M15+'Ny lokal'!M15</f>
        <v>0</v>
      </c>
      <c r="AD15" s="28">
        <f>N15+'Ny lokal'!N15</f>
        <v>0</v>
      </c>
      <c r="AE15" s="28">
        <f>O15+'Ny lokal'!O15</f>
        <v>0</v>
      </c>
      <c r="AF15" s="28">
        <f>P15+'Ny lokal'!P15</f>
        <v>0</v>
      </c>
      <c r="AG15" s="28">
        <f>Q15+'Ny lokal'!Q15</f>
        <v>0</v>
      </c>
    </row>
    <row r="16" spans="2:33" x14ac:dyDescent="0.2">
      <c r="B16" s="49">
        <v>5463</v>
      </c>
      <c r="C16" t="s">
        <v>72</v>
      </c>
      <c r="D16" s="51" t="s">
        <v>73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50">
        <f t="shared" si="0"/>
        <v>0</v>
      </c>
      <c r="V16" s="28">
        <f>F16+'Ny lokal'!F16</f>
        <v>0</v>
      </c>
      <c r="W16" s="28">
        <f>G16+'Ny lokal'!G16</f>
        <v>0</v>
      </c>
      <c r="X16" s="28">
        <f>H16+'Ny lokal'!H16</f>
        <v>0</v>
      </c>
      <c r="Y16" s="28">
        <f>I16+'Ny lokal'!I16</f>
        <v>0</v>
      </c>
      <c r="Z16" s="28">
        <f>J16+'Ny lokal'!J16</f>
        <v>0</v>
      </c>
      <c r="AA16" s="28">
        <f>K16+'Ny lokal'!K16</f>
        <v>0</v>
      </c>
      <c r="AB16" s="28">
        <f>L16+'Ny lokal'!L16</f>
        <v>0</v>
      </c>
      <c r="AC16" s="28">
        <f>M16+'Ny lokal'!M16</f>
        <v>0</v>
      </c>
      <c r="AD16" s="28">
        <f>N16+'Ny lokal'!N16</f>
        <v>0</v>
      </c>
      <c r="AE16" s="28">
        <f>O16+'Ny lokal'!O16</f>
        <v>0</v>
      </c>
      <c r="AF16" s="28">
        <f>P16+'Ny lokal'!P16</f>
        <v>0</v>
      </c>
      <c r="AG16" s="28">
        <f>Q16+'Ny lokal'!Q16</f>
        <v>0</v>
      </c>
    </row>
    <row r="17" spans="2:33" x14ac:dyDescent="0.2">
      <c r="B17" s="49">
        <v>5464</v>
      </c>
      <c r="C17" t="s">
        <v>75</v>
      </c>
      <c r="D17" s="51" t="s">
        <v>76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50">
        <f t="shared" si="0"/>
        <v>0</v>
      </c>
      <c r="V17" s="28">
        <f>F17+'Ny lokal'!F17</f>
        <v>0</v>
      </c>
      <c r="W17" s="28">
        <f>G17+'Ny lokal'!G17</f>
        <v>0</v>
      </c>
      <c r="X17" s="28">
        <f>H17+'Ny lokal'!H17</f>
        <v>0</v>
      </c>
      <c r="Y17" s="28">
        <f>I17+'Ny lokal'!I17</f>
        <v>0</v>
      </c>
      <c r="Z17" s="28">
        <f>J17+'Ny lokal'!J17</f>
        <v>0</v>
      </c>
      <c r="AA17" s="28">
        <f>K17+'Ny lokal'!K17</f>
        <v>0</v>
      </c>
      <c r="AB17" s="28">
        <f>L17+'Ny lokal'!L17</f>
        <v>0</v>
      </c>
      <c r="AC17" s="28">
        <f>M17+'Ny lokal'!M17</f>
        <v>0</v>
      </c>
      <c r="AD17" s="28">
        <f>N17+'Ny lokal'!N17</f>
        <v>0</v>
      </c>
      <c r="AE17" s="28">
        <f>O17+'Ny lokal'!O17</f>
        <v>0</v>
      </c>
      <c r="AF17" s="28">
        <f>P17+'Ny lokal'!P17</f>
        <v>0</v>
      </c>
      <c r="AG17" s="28">
        <f>Q17+'Ny lokal'!Q17</f>
        <v>0</v>
      </c>
    </row>
    <row r="18" spans="2:33" x14ac:dyDescent="0.2">
      <c r="B18" s="49">
        <v>5465</v>
      </c>
      <c r="C18" t="s">
        <v>77</v>
      </c>
      <c r="D18" s="51" t="s">
        <v>78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0">
        <f t="shared" si="0"/>
        <v>0</v>
      </c>
      <c r="V18" s="28">
        <f>F18+'Ny lokal'!F18</f>
        <v>0</v>
      </c>
      <c r="W18" s="28">
        <f>G18+'Ny lokal'!G18</f>
        <v>0</v>
      </c>
      <c r="X18" s="28">
        <f>H18+'Ny lokal'!H18</f>
        <v>0</v>
      </c>
      <c r="Y18" s="28">
        <f>I18+'Ny lokal'!I18</f>
        <v>0</v>
      </c>
      <c r="Z18" s="28">
        <f>J18+'Ny lokal'!J18</f>
        <v>0</v>
      </c>
      <c r="AA18" s="28">
        <f>K18+'Ny lokal'!K18</f>
        <v>0</v>
      </c>
      <c r="AB18" s="28">
        <f>L18+'Ny lokal'!L18</f>
        <v>0</v>
      </c>
      <c r="AC18" s="28">
        <f>M18+'Ny lokal'!M18</f>
        <v>0</v>
      </c>
      <c r="AD18" s="28">
        <f>N18+'Ny lokal'!N18</f>
        <v>0</v>
      </c>
      <c r="AE18" s="28">
        <f>O18+'Ny lokal'!O18</f>
        <v>0</v>
      </c>
      <c r="AF18" s="28">
        <f>P18+'Ny lokal'!P18</f>
        <v>0</v>
      </c>
      <c r="AG18" s="28">
        <f>Q18+'Ny lokal'!Q18</f>
        <v>0</v>
      </c>
    </row>
    <row r="19" spans="2:33" x14ac:dyDescent="0.2">
      <c r="B19" s="49">
        <v>5466</v>
      </c>
      <c r="C19" t="s">
        <v>79</v>
      </c>
      <c r="D19" s="51" t="s">
        <v>80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50">
        <f t="shared" si="0"/>
        <v>0</v>
      </c>
      <c r="V19" s="28">
        <f>F19+'Ny lokal'!F19</f>
        <v>0</v>
      </c>
      <c r="W19" s="28">
        <f>G19+'Ny lokal'!G19</f>
        <v>0</v>
      </c>
      <c r="X19" s="28">
        <f>H19+'Ny lokal'!H19</f>
        <v>0</v>
      </c>
      <c r="Y19" s="28">
        <f>I19+'Ny lokal'!I19</f>
        <v>0</v>
      </c>
      <c r="Z19" s="28">
        <f>J19+'Ny lokal'!J19</f>
        <v>0</v>
      </c>
      <c r="AA19" s="28">
        <f>K19+'Ny lokal'!K19</f>
        <v>0</v>
      </c>
      <c r="AB19" s="28">
        <f>L19+'Ny lokal'!L19</f>
        <v>0</v>
      </c>
      <c r="AC19" s="28">
        <f>M19+'Ny lokal'!M19</f>
        <v>0</v>
      </c>
      <c r="AD19" s="28">
        <f>N19+'Ny lokal'!N19</f>
        <v>0</v>
      </c>
      <c r="AE19" s="28">
        <f>O19+'Ny lokal'!O19</f>
        <v>0</v>
      </c>
      <c r="AF19" s="28">
        <f>P19+'Ny lokal'!P19</f>
        <v>0</v>
      </c>
      <c r="AG19" s="28">
        <f>Q19+'Ny lokal'!Q19</f>
        <v>0</v>
      </c>
    </row>
    <row r="20" spans="2:33" x14ac:dyDescent="0.2">
      <c r="B20" s="49">
        <v>5480</v>
      </c>
      <c r="C20" t="s">
        <v>74</v>
      </c>
      <c r="D20" s="49" t="s">
        <v>81</v>
      </c>
      <c r="F20" s="48">
        <f>2*6/12</f>
        <v>1</v>
      </c>
      <c r="G20" s="48">
        <f t="shared" ref="G20:Q20" si="1">2*6/12</f>
        <v>1</v>
      </c>
      <c r="H20" s="48">
        <f t="shared" si="1"/>
        <v>1</v>
      </c>
      <c r="I20" s="48">
        <f t="shared" si="1"/>
        <v>1</v>
      </c>
      <c r="J20" s="48">
        <f t="shared" si="1"/>
        <v>1</v>
      </c>
      <c r="K20" s="48">
        <f t="shared" si="1"/>
        <v>1</v>
      </c>
      <c r="L20" s="48">
        <f t="shared" si="1"/>
        <v>1</v>
      </c>
      <c r="M20" s="48">
        <f t="shared" si="1"/>
        <v>1</v>
      </c>
      <c r="N20" s="48">
        <f t="shared" si="1"/>
        <v>1</v>
      </c>
      <c r="O20" s="48">
        <f t="shared" si="1"/>
        <v>1</v>
      </c>
      <c r="P20" s="48">
        <f t="shared" si="1"/>
        <v>1</v>
      </c>
      <c r="Q20" s="48">
        <f t="shared" si="1"/>
        <v>1</v>
      </c>
      <c r="R20" s="50">
        <f t="shared" si="0"/>
        <v>12</v>
      </c>
      <c r="V20" s="28">
        <f>F20+'Ny lokal'!F20</f>
        <v>1</v>
      </c>
      <c r="W20" s="28">
        <f>G20+'Ny lokal'!G20</f>
        <v>1</v>
      </c>
      <c r="X20" s="28">
        <f>H20+'Ny lokal'!H20</f>
        <v>1</v>
      </c>
      <c r="Y20" s="28">
        <f>I20+'Ny lokal'!I20</f>
        <v>1</v>
      </c>
      <c r="Z20" s="28">
        <f>J20+'Ny lokal'!J20</f>
        <v>1</v>
      </c>
      <c r="AA20" s="28">
        <f>K20+'Ny lokal'!K20</f>
        <v>1</v>
      </c>
      <c r="AB20" s="28">
        <f>L20+'Ny lokal'!L20</f>
        <v>1</v>
      </c>
      <c r="AC20" s="28">
        <f>M20+'Ny lokal'!M20</f>
        <v>1</v>
      </c>
      <c r="AD20" s="28">
        <f>N20+'Ny lokal'!N20</f>
        <v>1</v>
      </c>
      <c r="AE20" s="28">
        <f>O20+'Ny lokal'!O20</f>
        <v>1</v>
      </c>
      <c r="AF20" s="28">
        <f>P20+'Ny lokal'!P20</f>
        <v>1</v>
      </c>
      <c r="AG20" s="28">
        <f>Q20+'Ny lokal'!Q20</f>
        <v>1</v>
      </c>
    </row>
    <row r="21" spans="2:33" x14ac:dyDescent="0.2">
      <c r="B21" s="49">
        <v>5500</v>
      </c>
      <c r="C21" t="s">
        <v>82</v>
      </c>
      <c r="D21" s="49" t="s">
        <v>83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50">
        <f t="shared" si="0"/>
        <v>0</v>
      </c>
      <c r="V21" s="28">
        <f>F21+'Ny lokal'!F21</f>
        <v>0</v>
      </c>
      <c r="W21" s="28">
        <f>G21+'Ny lokal'!G21</f>
        <v>0</v>
      </c>
      <c r="X21" s="28">
        <f>H21+'Ny lokal'!H21</f>
        <v>0</v>
      </c>
      <c r="Y21" s="28">
        <f>I21+'Ny lokal'!I21</f>
        <v>0</v>
      </c>
      <c r="Z21" s="28">
        <f>J21+'Ny lokal'!J21</f>
        <v>0</v>
      </c>
      <c r="AA21" s="28">
        <f>K21+'Ny lokal'!K21</f>
        <v>0</v>
      </c>
      <c r="AB21" s="28">
        <f>L21+'Ny lokal'!L21</f>
        <v>0</v>
      </c>
      <c r="AC21" s="28">
        <f>M21+'Ny lokal'!M21</f>
        <v>0</v>
      </c>
      <c r="AD21" s="28">
        <f>N21+'Ny lokal'!N21</f>
        <v>0</v>
      </c>
      <c r="AE21" s="28">
        <f>O21+'Ny lokal'!O21</f>
        <v>0</v>
      </c>
      <c r="AF21" s="28">
        <f>P21+'Ny lokal'!P21</f>
        <v>0</v>
      </c>
      <c r="AG21" s="28">
        <f>Q21+'Ny lokal'!Q21</f>
        <v>0</v>
      </c>
    </row>
    <row r="22" spans="2:33" x14ac:dyDescent="0.2">
      <c r="B22" s="49">
        <v>5611</v>
      </c>
      <c r="C22" t="s">
        <v>84</v>
      </c>
      <c r="D22" s="49" t="s">
        <v>85</v>
      </c>
      <c r="F22" s="48">
        <f>50/12</f>
        <v>4.166666666666667</v>
      </c>
      <c r="G22" s="48">
        <f t="shared" ref="G22:Q23" si="2">50/12</f>
        <v>4.166666666666667</v>
      </c>
      <c r="H22" s="48">
        <f t="shared" si="2"/>
        <v>4.166666666666667</v>
      </c>
      <c r="I22" s="48">
        <f t="shared" si="2"/>
        <v>4.166666666666667</v>
      </c>
      <c r="J22" s="48">
        <f t="shared" si="2"/>
        <v>4.166666666666667</v>
      </c>
      <c r="K22" s="48">
        <f t="shared" si="2"/>
        <v>4.166666666666667</v>
      </c>
      <c r="L22" s="48">
        <f t="shared" si="2"/>
        <v>4.166666666666667</v>
      </c>
      <c r="M22" s="48">
        <f t="shared" si="2"/>
        <v>4.166666666666667</v>
      </c>
      <c r="N22" s="48">
        <f t="shared" si="2"/>
        <v>4.166666666666667</v>
      </c>
      <c r="O22" s="48">
        <f t="shared" si="2"/>
        <v>4.166666666666667</v>
      </c>
      <c r="P22" s="48">
        <f t="shared" si="2"/>
        <v>4.166666666666667</v>
      </c>
      <c r="Q22" s="48">
        <f t="shared" si="2"/>
        <v>4.166666666666667</v>
      </c>
      <c r="R22" s="50">
        <f t="shared" si="0"/>
        <v>49.999999999999993</v>
      </c>
      <c r="V22" s="28">
        <f>F22+'Ny lokal'!F22</f>
        <v>4.166666666666667</v>
      </c>
      <c r="W22" s="28">
        <f>G22+'Ny lokal'!G22</f>
        <v>4.166666666666667</v>
      </c>
      <c r="X22" s="28">
        <f>H22+'Ny lokal'!H22</f>
        <v>4.166666666666667</v>
      </c>
      <c r="Y22" s="28">
        <f>I22+'Ny lokal'!I22</f>
        <v>4.166666666666667</v>
      </c>
      <c r="Z22" s="28">
        <f>J22+'Ny lokal'!J22</f>
        <v>4.166666666666667</v>
      </c>
      <c r="AA22" s="28">
        <f>K22+'Ny lokal'!K22</f>
        <v>4.166666666666667</v>
      </c>
      <c r="AB22" s="28">
        <f>L22+'Ny lokal'!L22</f>
        <v>4.166666666666667</v>
      </c>
      <c r="AC22" s="28">
        <f>M22+'Ny lokal'!M22</f>
        <v>4.166666666666667</v>
      </c>
      <c r="AD22" s="28">
        <f>N22+'Ny lokal'!N22</f>
        <v>4.166666666666667</v>
      </c>
      <c r="AE22" s="28">
        <f>O22+'Ny lokal'!O22</f>
        <v>4.166666666666667</v>
      </c>
      <c r="AF22" s="28">
        <f>P22+'Ny lokal'!P22</f>
        <v>4.166666666666667</v>
      </c>
      <c r="AG22" s="28">
        <f>Q22+'Ny lokal'!Q22</f>
        <v>4.166666666666667</v>
      </c>
    </row>
    <row r="23" spans="2:33" x14ac:dyDescent="0.2">
      <c r="B23" s="49">
        <v>5612</v>
      </c>
      <c r="C23" t="s">
        <v>86</v>
      </c>
      <c r="D23" s="49" t="s">
        <v>87</v>
      </c>
      <c r="F23" s="48">
        <f>50/12</f>
        <v>4.166666666666667</v>
      </c>
      <c r="G23" s="48">
        <f t="shared" si="2"/>
        <v>4.166666666666667</v>
      </c>
      <c r="H23" s="48">
        <f t="shared" si="2"/>
        <v>4.166666666666667</v>
      </c>
      <c r="I23" s="48">
        <f t="shared" si="2"/>
        <v>4.166666666666667</v>
      </c>
      <c r="J23" s="48">
        <f t="shared" si="2"/>
        <v>4.166666666666667</v>
      </c>
      <c r="K23" s="48">
        <f t="shared" si="2"/>
        <v>4.166666666666667</v>
      </c>
      <c r="L23" s="48">
        <f t="shared" si="2"/>
        <v>4.166666666666667</v>
      </c>
      <c r="M23" s="48">
        <f t="shared" si="2"/>
        <v>4.166666666666667</v>
      </c>
      <c r="N23" s="48">
        <f t="shared" si="2"/>
        <v>4.166666666666667</v>
      </c>
      <c r="O23" s="48">
        <f t="shared" si="2"/>
        <v>4.166666666666667</v>
      </c>
      <c r="P23" s="48">
        <f t="shared" si="2"/>
        <v>4.166666666666667</v>
      </c>
      <c r="Q23" s="48">
        <f t="shared" si="2"/>
        <v>4.166666666666667</v>
      </c>
      <c r="R23" s="50">
        <f t="shared" si="0"/>
        <v>49.999999999999993</v>
      </c>
      <c r="V23" s="28">
        <f>F23+'Ny lokal'!F23</f>
        <v>4.166666666666667</v>
      </c>
      <c r="W23" s="28">
        <f>G23+'Ny lokal'!G23</f>
        <v>4.166666666666667</v>
      </c>
      <c r="X23" s="28">
        <f>H23+'Ny lokal'!H23</f>
        <v>4.166666666666667</v>
      </c>
      <c r="Y23" s="28">
        <f>I23+'Ny lokal'!I23</f>
        <v>4.166666666666667</v>
      </c>
      <c r="Z23" s="28">
        <f>J23+'Ny lokal'!J23</f>
        <v>4.166666666666667</v>
      </c>
      <c r="AA23" s="28">
        <f>K23+'Ny lokal'!K23</f>
        <v>4.166666666666667</v>
      </c>
      <c r="AB23" s="28">
        <f>L23+'Ny lokal'!L23</f>
        <v>4.166666666666667</v>
      </c>
      <c r="AC23" s="28">
        <f>M23+'Ny lokal'!M23</f>
        <v>4.166666666666667</v>
      </c>
      <c r="AD23" s="28">
        <f>N23+'Ny lokal'!N23</f>
        <v>4.166666666666667</v>
      </c>
      <c r="AE23" s="28">
        <f>O23+'Ny lokal'!O23</f>
        <v>4.166666666666667</v>
      </c>
      <c r="AF23" s="28">
        <f>P23+'Ny lokal'!P23</f>
        <v>4.166666666666667</v>
      </c>
      <c r="AG23" s="28">
        <f>Q23+'Ny lokal'!Q23</f>
        <v>4.166666666666667</v>
      </c>
    </row>
    <row r="24" spans="2:33" x14ac:dyDescent="0.2">
      <c r="B24" s="49">
        <v>5613</v>
      </c>
      <c r="C24" t="s">
        <v>88</v>
      </c>
      <c r="D24" s="49" t="s">
        <v>89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50">
        <f t="shared" si="0"/>
        <v>0</v>
      </c>
      <c r="V24" s="28">
        <f>F24+'Ny lokal'!F24</f>
        <v>0</v>
      </c>
      <c r="W24" s="28">
        <f>G24+'Ny lokal'!G24</f>
        <v>0</v>
      </c>
      <c r="X24" s="28">
        <f>H24+'Ny lokal'!H24</f>
        <v>0</v>
      </c>
      <c r="Y24" s="28">
        <f>I24+'Ny lokal'!I24</f>
        <v>0</v>
      </c>
      <c r="Z24" s="28">
        <f>J24+'Ny lokal'!J24</f>
        <v>0</v>
      </c>
      <c r="AA24" s="28">
        <f>K24+'Ny lokal'!K24</f>
        <v>0</v>
      </c>
      <c r="AB24" s="28">
        <f>L24+'Ny lokal'!L24</f>
        <v>0</v>
      </c>
      <c r="AC24" s="28">
        <f>M24+'Ny lokal'!M24</f>
        <v>0</v>
      </c>
      <c r="AD24" s="28">
        <f>N24+'Ny lokal'!N24</f>
        <v>0</v>
      </c>
      <c r="AE24" s="28">
        <f>O24+'Ny lokal'!O24</f>
        <v>0</v>
      </c>
      <c r="AF24" s="28">
        <f>P24+'Ny lokal'!P24</f>
        <v>0</v>
      </c>
      <c r="AG24" s="28">
        <f>Q24+'Ny lokal'!Q24</f>
        <v>0</v>
      </c>
    </row>
    <row r="25" spans="2:33" x14ac:dyDescent="0.2">
      <c r="B25" s="49">
        <v>5615</v>
      </c>
      <c r="C25" t="s">
        <v>90</v>
      </c>
      <c r="D25" s="49" t="s">
        <v>91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50">
        <f t="shared" si="0"/>
        <v>0</v>
      </c>
      <c r="V25" s="28">
        <f>F25+'Ny lokal'!F25</f>
        <v>0</v>
      </c>
      <c r="W25" s="28">
        <f>G25+'Ny lokal'!G25</f>
        <v>0</v>
      </c>
      <c r="X25" s="28">
        <f>H25+'Ny lokal'!H25</f>
        <v>0</v>
      </c>
      <c r="Y25" s="28">
        <f>I25+'Ny lokal'!I25</f>
        <v>0</v>
      </c>
      <c r="Z25" s="28">
        <f>J25+'Ny lokal'!J25</f>
        <v>0</v>
      </c>
      <c r="AA25" s="28">
        <f>K25+'Ny lokal'!K25</f>
        <v>0</v>
      </c>
      <c r="AB25" s="28">
        <f>L25+'Ny lokal'!L25</f>
        <v>0</v>
      </c>
      <c r="AC25" s="28">
        <f>M25+'Ny lokal'!M25</f>
        <v>0</v>
      </c>
      <c r="AD25" s="28">
        <f>N25+'Ny lokal'!N25</f>
        <v>0</v>
      </c>
      <c r="AE25" s="28">
        <f>O25+'Ny lokal'!O25</f>
        <v>0</v>
      </c>
      <c r="AF25" s="28">
        <f>P25+'Ny lokal'!P25</f>
        <v>0</v>
      </c>
      <c r="AG25" s="28">
        <f>Q25+'Ny lokal'!Q25</f>
        <v>0</v>
      </c>
    </row>
    <row r="26" spans="2:33" x14ac:dyDescent="0.2">
      <c r="B26" s="49">
        <v>5616</v>
      </c>
      <c r="C26" t="s">
        <v>92</v>
      </c>
      <c r="D26" s="49" t="s">
        <v>93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50">
        <f t="shared" si="0"/>
        <v>0</v>
      </c>
      <c r="V26" s="28">
        <f>F26+'Ny lokal'!F26</f>
        <v>0</v>
      </c>
      <c r="W26" s="28">
        <f>G26+'Ny lokal'!G26</f>
        <v>0</v>
      </c>
      <c r="X26" s="28">
        <f>H26+'Ny lokal'!H26</f>
        <v>0</v>
      </c>
      <c r="Y26" s="28">
        <f>I26+'Ny lokal'!I26</f>
        <v>0</v>
      </c>
      <c r="Z26" s="28">
        <f>J26+'Ny lokal'!J26</f>
        <v>0</v>
      </c>
      <c r="AA26" s="28">
        <f>K26+'Ny lokal'!K26</f>
        <v>0</v>
      </c>
      <c r="AB26" s="28">
        <f>L26+'Ny lokal'!L26</f>
        <v>0</v>
      </c>
      <c r="AC26" s="28">
        <f>M26+'Ny lokal'!M26</f>
        <v>0</v>
      </c>
      <c r="AD26" s="28">
        <f>N26+'Ny lokal'!N26</f>
        <v>0</v>
      </c>
      <c r="AE26" s="28">
        <f>O26+'Ny lokal'!O26</f>
        <v>0</v>
      </c>
      <c r="AF26" s="28">
        <f>P26+'Ny lokal'!P26</f>
        <v>0</v>
      </c>
      <c r="AG26" s="28">
        <f>Q26+'Ny lokal'!Q26</f>
        <v>0</v>
      </c>
    </row>
    <row r="27" spans="2:33" x14ac:dyDescent="0.2">
      <c r="B27" s="49">
        <v>5619</v>
      </c>
      <c r="C27" t="s">
        <v>94</v>
      </c>
      <c r="D27" s="49" t="s">
        <v>95</v>
      </c>
      <c r="F27" s="48">
        <f>30/12</f>
        <v>2.5</v>
      </c>
      <c r="G27" s="48">
        <f t="shared" ref="G27:Q27" si="3">30/12</f>
        <v>2.5</v>
      </c>
      <c r="H27" s="48">
        <f t="shared" si="3"/>
        <v>2.5</v>
      </c>
      <c r="I27" s="48">
        <f t="shared" si="3"/>
        <v>2.5</v>
      </c>
      <c r="J27" s="48">
        <f t="shared" si="3"/>
        <v>2.5</v>
      </c>
      <c r="K27" s="48">
        <f t="shared" si="3"/>
        <v>2.5</v>
      </c>
      <c r="L27" s="48">
        <f t="shared" si="3"/>
        <v>2.5</v>
      </c>
      <c r="M27" s="48">
        <f t="shared" si="3"/>
        <v>2.5</v>
      </c>
      <c r="N27" s="48">
        <f t="shared" si="3"/>
        <v>2.5</v>
      </c>
      <c r="O27" s="48">
        <f t="shared" si="3"/>
        <v>2.5</v>
      </c>
      <c r="P27" s="48">
        <f t="shared" si="3"/>
        <v>2.5</v>
      </c>
      <c r="Q27" s="48">
        <f t="shared" si="3"/>
        <v>2.5</v>
      </c>
      <c r="R27" s="50">
        <f t="shared" si="0"/>
        <v>30</v>
      </c>
      <c r="V27" s="28">
        <f>F27+'Ny lokal'!F27</f>
        <v>2.5</v>
      </c>
      <c r="W27" s="28">
        <f>G27+'Ny lokal'!G27</f>
        <v>2.5</v>
      </c>
      <c r="X27" s="28">
        <f>H27+'Ny lokal'!H27</f>
        <v>2.5</v>
      </c>
      <c r="Y27" s="28">
        <f>I27+'Ny lokal'!I27</f>
        <v>2.5</v>
      </c>
      <c r="Z27" s="28">
        <f>J27+'Ny lokal'!J27</f>
        <v>2.5</v>
      </c>
      <c r="AA27" s="28">
        <f>K27+'Ny lokal'!K27</f>
        <v>2.5</v>
      </c>
      <c r="AB27" s="28">
        <f>L27+'Ny lokal'!L27</f>
        <v>2.5</v>
      </c>
      <c r="AC27" s="28">
        <f>M27+'Ny lokal'!M27</f>
        <v>2.5</v>
      </c>
      <c r="AD27" s="28">
        <f>N27+'Ny lokal'!N27</f>
        <v>2.5</v>
      </c>
      <c r="AE27" s="28">
        <f>O27+'Ny lokal'!O27</f>
        <v>2.5</v>
      </c>
      <c r="AF27" s="28">
        <f>P27+'Ny lokal'!P27</f>
        <v>2.5</v>
      </c>
      <c r="AG27" s="28">
        <f>Q27+'Ny lokal'!Q27</f>
        <v>2.5</v>
      </c>
    </row>
    <row r="28" spans="2:33" x14ac:dyDescent="0.2">
      <c r="B28" s="49">
        <v>5720</v>
      </c>
      <c r="C28" t="s">
        <v>96</v>
      </c>
      <c r="D28" s="49" t="s">
        <v>97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50">
        <f t="shared" si="0"/>
        <v>0</v>
      </c>
      <c r="V28" s="28">
        <f>F28+'Ny lokal'!F28</f>
        <v>0</v>
      </c>
      <c r="W28" s="28">
        <f>G28+'Ny lokal'!G28</f>
        <v>0</v>
      </c>
      <c r="X28" s="28">
        <f>H28+'Ny lokal'!H28</f>
        <v>0</v>
      </c>
      <c r="Y28" s="28">
        <f>I28+'Ny lokal'!I28</f>
        <v>0</v>
      </c>
      <c r="Z28" s="28">
        <f>J28+'Ny lokal'!J28</f>
        <v>0</v>
      </c>
      <c r="AA28" s="28">
        <f>K28+'Ny lokal'!K28</f>
        <v>0</v>
      </c>
      <c r="AB28" s="28">
        <f>L28+'Ny lokal'!L28</f>
        <v>0</v>
      </c>
      <c r="AC28" s="28">
        <f>M28+'Ny lokal'!M28</f>
        <v>0</v>
      </c>
      <c r="AD28" s="28">
        <f>N28+'Ny lokal'!N28</f>
        <v>0</v>
      </c>
      <c r="AE28" s="28">
        <f>O28+'Ny lokal'!O28</f>
        <v>0</v>
      </c>
      <c r="AF28" s="28">
        <f>P28+'Ny lokal'!P28</f>
        <v>0</v>
      </c>
      <c r="AG28" s="28">
        <f>Q28+'Ny lokal'!Q28</f>
        <v>0</v>
      </c>
    </row>
    <row r="29" spans="2:33" x14ac:dyDescent="0.2">
      <c r="B29" s="49">
        <v>5831</v>
      </c>
      <c r="C29" t="s">
        <v>98</v>
      </c>
      <c r="D29" s="49" t="s">
        <v>99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50">
        <f t="shared" si="0"/>
        <v>0</v>
      </c>
      <c r="V29" s="28">
        <f>F29+'Ny lokal'!F29</f>
        <v>0</v>
      </c>
      <c r="W29" s="28">
        <f>G29+'Ny lokal'!G29</f>
        <v>0</v>
      </c>
      <c r="X29" s="28">
        <f>H29+'Ny lokal'!H29</f>
        <v>0</v>
      </c>
      <c r="Y29" s="28">
        <f>I29+'Ny lokal'!I29</f>
        <v>0</v>
      </c>
      <c r="Z29" s="28">
        <f>J29+'Ny lokal'!J29</f>
        <v>0</v>
      </c>
      <c r="AA29" s="28">
        <f>K29+'Ny lokal'!K29</f>
        <v>0</v>
      </c>
      <c r="AB29" s="28">
        <f>L29+'Ny lokal'!L29</f>
        <v>0</v>
      </c>
      <c r="AC29" s="28">
        <f>M29+'Ny lokal'!M29</f>
        <v>0</v>
      </c>
      <c r="AD29" s="28">
        <f>N29+'Ny lokal'!N29</f>
        <v>0</v>
      </c>
      <c r="AE29" s="28">
        <f>O29+'Ny lokal'!O29</f>
        <v>0</v>
      </c>
      <c r="AF29" s="28">
        <f>P29+'Ny lokal'!P29</f>
        <v>0</v>
      </c>
      <c r="AG29" s="28">
        <f>Q29+'Ny lokal'!Q29</f>
        <v>0</v>
      </c>
    </row>
    <row r="30" spans="2:33" x14ac:dyDescent="0.2">
      <c r="B30" s="49">
        <v>5832</v>
      </c>
      <c r="C30" t="s">
        <v>100</v>
      </c>
      <c r="D30" s="49" t="s">
        <v>101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50">
        <f t="shared" si="0"/>
        <v>0</v>
      </c>
      <c r="V30" s="28">
        <f>F30+'Ny lokal'!F30</f>
        <v>0</v>
      </c>
      <c r="W30" s="28">
        <f>G30+'Ny lokal'!G30</f>
        <v>0</v>
      </c>
      <c r="X30" s="28">
        <f>H30+'Ny lokal'!H30</f>
        <v>0</v>
      </c>
      <c r="Y30" s="28">
        <f>I30+'Ny lokal'!I30</f>
        <v>0</v>
      </c>
      <c r="Z30" s="28">
        <f>J30+'Ny lokal'!J30</f>
        <v>0</v>
      </c>
      <c r="AA30" s="28">
        <f>K30+'Ny lokal'!K30</f>
        <v>0</v>
      </c>
      <c r="AB30" s="28">
        <f>L30+'Ny lokal'!L30</f>
        <v>0</v>
      </c>
      <c r="AC30" s="28">
        <f>M30+'Ny lokal'!M30</f>
        <v>0</v>
      </c>
      <c r="AD30" s="28">
        <f>N30+'Ny lokal'!N30</f>
        <v>0</v>
      </c>
      <c r="AE30" s="28">
        <f>O30+'Ny lokal'!O30</f>
        <v>0</v>
      </c>
      <c r="AF30" s="28">
        <f>P30+'Ny lokal'!P30</f>
        <v>0</v>
      </c>
      <c r="AG30" s="28">
        <f>Q30+'Ny lokal'!Q30</f>
        <v>0</v>
      </c>
    </row>
    <row r="31" spans="2:33" x14ac:dyDescent="0.2">
      <c r="B31" s="49">
        <v>5890</v>
      </c>
      <c r="C31" t="s">
        <v>103</v>
      </c>
      <c r="D31" s="49" t="s">
        <v>104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50">
        <f t="shared" si="0"/>
        <v>0</v>
      </c>
      <c r="V31" s="28">
        <f>F31+'Ny lokal'!F31</f>
        <v>0</v>
      </c>
      <c r="W31" s="28">
        <f>G31+'Ny lokal'!G31</f>
        <v>0</v>
      </c>
      <c r="X31" s="28">
        <f>H31+'Ny lokal'!H31</f>
        <v>0</v>
      </c>
      <c r="Y31" s="28">
        <f>I31+'Ny lokal'!I31</f>
        <v>0</v>
      </c>
      <c r="Z31" s="28">
        <f>J31+'Ny lokal'!J31</f>
        <v>0</v>
      </c>
      <c r="AA31" s="28">
        <f>K31+'Ny lokal'!K31</f>
        <v>0</v>
      </c>
      <c r="AB31" s="28">
        <f>L31+'Ny lokal'!L31</f>
        <v>0</v>
      </c>
      <c r="AC31" s="28">
        <f>M31+'Ny lokal'!M31</f>
        <v>0</v>
      </c>
      <c r="AD31" s="28">
        <f>N31+'Ny lokal'!N31</f>
        <v>0</v>
      </c>
      <c r="AE31" s="28">
        <f>O31+'Ny lokal'!O31</f>
        <v>0</v>
      </c>
      <c r="AF31" s="28">
        <f>P31+'Ny lokal'!P31</f>
        <v>0</v>
      </c>
      <c r="AG31" s="28">
        <f>Q31+'Ny lokal'!Q31</f>
        <v>0</v>
      </c>
    </row>
    <row r="32" spans="2:33" x14ac:dyDescent="0.2">
      <c r="B32" s="49">
        <v>5891</v>
      </c>
      <c r="C32" t="s">
        <v>106</v>
      </c>
      <c r="D32" s="49" t="s">
        <v>107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50">
        <f t="shared" si="0"/>
        <v>0</v>
      </c>
      <c r="V32" s="28">
        <f>F32+'Ny lokal'!F32</f>
        <v>0</v>
      </c>
      <c r="W32" s="28">
        <f>G32+'Ny lokal'!G32</f>
        <v>0</v>
      </c>
      <c r="X32" s="28">
        <f>H32+'Ny lokal'!H32</f>
        <v>0</v>
      </c>
      <c r="Y32" s="28">
        <f>I32+'Ny lokal'!I32</f>
        <v>0</v>
      </c>
      <c r="Z32" s="28">
        <f>J32+'Ny lokal'!J32</f>
        <v>0</v>
      </c>
      <c r="AA32" s="28">
        <f>K32+'Ny lokal'!K32</f>
        <v>0</v>
      </c>
      <c r="AB32" s="28">
        <f>L32+'Ny lokal'!L32</f>
        <v>0</v>
      </c>
      <c r="AC32" s="28">
        <f>M32+'Ny lokal'!M32</f>
        <v>0</v>
      </c>
      <c r="AD32" s="28">
        <f>N32+'Ny lokal'!N32</f>
        <v>0</v>
      </c>
      <c r="AE32" s="28">
        <f>O32+'Ny lokal'!O32</f>
        <v>0</v>
      </c>
      <c r="AF32" s="28">
        <f>P32+'Ny lokal'!P32</f>
        <v>0</v>
      </c>
      <c r="AG32" s="28">
        <f>Q32+'Ny lokal'!Q32</f>
        <v>0</v>
      </c>
    </row>
    <row r="33" spans="2:33" x14ac:dyDescent="0.2">
      <c r="B33" s="49">
        <v>5892</v>
      </c>
      <c r="C33" t="s">
        <v>108</v>
      </c>
      <c r="D33" s="49" t="s">
        <v>109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50">
        <f t="shared" si="0"/>
        <v>0</v>
      </c>
      <c r="V33" s="28">
        <f>F33+'Ny lokal'!F33</f>
        <v>0</v>
      </c>
      <c r="W33" s="28">
        <f>G33+'Ny lokal'!G33</f>
        <v>0</v>
      </c>
      <c r="X33" s="28">
        <f>H33+'Ny lokal'!H33</f>
        <v>0</v>
      </c>
      <c r="Y33" s="28">
        <f>I33+'Ny lokal'!I33</f>
        <v>0</v>
      </c>
      <c r="Z33" s="28">
        <f>J33+'Ny lokal'!J33</f>
        <v>0</v>
      </c>
      <c r="AA33" s="28">
        <f>K33+'Ny lokal'!K33</f>
        <v>0</v>
      </c>
      <c r="AB33" s="28">
        <f>L33+'Ny lokal'!L33</f>
        <v>0</v>
      </c>
      <c r="AC33" s="28">
        <f>M33+'Ny lokal'!M33</f>
        <v>0</v>
      </c>
      <c r="AD33" s="28">
        <f>N33+'Ny lokal'!N33</f>
        <v>0</v>
      </c>
      <c r="AE33" s="28">
        <f>O33+'Ny lokal'!O33</f>
        <v>0</v>
      </c>
      <c r="AF33" s="28">
        <f>P33+'Ny lokal'!P33</f>
        <v>0</v>
      </c>
      <c r="AG33" s="28">
        <f>Q33+'Ny lokal'!Q33</f>
        <v>0</v>
      </c>
    </row>
    <row r="34" spans="2:33" x14ac:dyDescent="0.2">
      <c r="B34" s="49">
        <v>5900</v>
      </c>
      <c r="C34" t="s">
        <v>110</v>
      </c>
      <c r="D34" s="49" t="s">
        <v>111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0">
        <f t="shared" si="0"/>
        <v>0</v>
      </c>
      <c r="V34" s="28">
        <f>F34+'Ny lokal'!F34</f>
        <v>0</v>
      </c>
      <c r="W34" s="28">
        <f>G34+'Ny lokal'!G34</f>
        <v>0</v>
      </c>
      <c r="X34" s="28">
        <f>H34+'Ny lokal'!H34</f>
        <v>0</v>
      </c>
      <c r="Y34" s="28">
        <f>I34+'Ny lokal'!I34</f>
        <v>0</v>
      </c>
      <c r="Z34" s="28">
        <f>J34+'Ny lokal'!J34</f>
        <v>0</v>
      </c>
      <c r="AA34" s="28">
        <f>K34+'Ny lokal'!K34</f>
        <v>0</v>
      </c>
      <c r="AB34" s="28">
        <f>L34+'Ny lokal'!L34</f>
        <v>0</v>
      </c>
      <c r="AC34" s="28">
        <f>M34+'Ny lokal'!M34</f>
        <v>0</v>
      </c>
      <c r="AD34" s="28">
        <f>N34+'Ny lokal'!N34</f>
        <v>0</v>
      </c>
      <c r="AE34" s="28">
        <f>O34+'Ny lokal'!O34</f>
        <v>0</v>
      </c>
      <c r="AF34" s="28">
        <f>P34+'Ny lokal'!P34</f>
        <v>0</v>
      </c>
      <c r="AG34" s="28">
        <f>Q34+'Ny lokal'!Q34</f>
        <v>0</v>
      </c>
    </row>
    <row r="35" spans="2:33" x14ac:dyDescent="0.2">
      <c r="B35" s="49">
        <v>5930</v>
      </c>
      <c r="C35" t="s">
        <v>112</v>
      </c>
      <c r="D35" s="49" t="s">
        <v>113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0">
        <f t="shared" si="0"/>
        <v>0</v>
      </c>
      <c r="V35" s="28">
        <f>F35+'Ny lokal'!F35</f>
        <v>0</v>
      </c>
      <c r="W35" s="28">
        <f>G35+'Ny lokal'!G35</f>
        <v>0</v>
      </c>
      <c r="X35" s="28">
        <f>H35+'Ny lokal'!H35</f>
        <v>0</v>
      </c>
      <c r="Y35" s="28">
        <f>I35+'Ny lokal'!I35</f>
        <v>0</v>
      </c>
      <c r="Z35" s="28">
        <f>J35+'Ny lokal'!J35</f>
        <v>0</v>
      </c>
      <c r="AA35" s="28">
        <f>K35+'Ny lokal'!K35</f>
        <v>0</v>
      </c>
      <c r="AB35" s="28">
        <f>L35+'Ny lokal'!L35</f>
        <v>0</v>
      </c>
      <c r="AC35" s="28">
        <f>M35+'Ny lokal'!M35</f>
        <v>0</v>
      </c>
      <c r="AD35" s="28">
        <f>N35+'Ny lokal'!N35</f>
        <v>0</v>
      </c>
      <c r="AE35" s="28">
        <f>O35+'Ny lokal'!O35</f>
        <v>0</v>
      </c>
      <c r="AF35" s="28">
        <f>P35+'Ny lokal'!P35</f>
        <v>0</v>
      </c>
      <c r="AG35" s="28">
        <f>Q35+'Ny lokal'!Q35</f>
        <v>0</v>
      </c>
    </row>
    <row r="36" spans="2:33" x14ac:dyDescent="0.2">
      <c r="B36" s="49">
        <v>5940</v>
      </c>
      <c r="C36" t="s">
        <v>114</v>
      </c>
      <c r="D36" s="49" t="s">
        <v>115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0">
        <f t="shared" si="0"/>
        <v>0</v>
      </c>
      <c r="V36" s="28">
        <f>F36+'Ny lokal'!F36</f>
        <v>0</v>
      </c>
      <c r="W36" s="28">
        <f>G36+'Ny lokal'!G36</f>
        <v>0</v>
      </c>
      <c r="X36" s="28">
        <f>H36+'Ny lokal'!H36</f>
        <v>0</v>
      </c>
      <c r="Y36" s="28">
        <f>I36+'Ny lokal'!I36</f>
        <v>0</v>
      </c>
      <c r="Z36" s="28">
        <f>J36+'Ny lokal'!J36</f>
        <v>0</v>
      </c>
      <c r="AA36" s="28">
        <f>K36+'Ny lokal'!K36</f>
        <v>0</v>
      </c>
      <c r="AB36" s="28">
        <f>L36+'Ny lokal'!L36</f>
        <v>0</v>
      </c>
      <c r="AC36" s="28">
        <f>M36+'Ny lokal'!M36</f>
        <v>0</v>
      </c>
      <c r="AD36" s="28">
        <f>N36+'Ny lokal'!N36</f>
        <v>0</v>
      </c>
      <c r="AE36" s="28">
        <f>O36+'Ny lokal'!O36</f>
        <v>0</v>
      </c>
      <c r="AF36" s="28">
        <f>P36+'Ny lokal'!P36</f>
        <v>0</v>
      </c>
      <c r="AG36" s="28">
        <f>Q36+'Ny lokal'!Q36</f>
        <v>0</v>
      </c>
    </row>
    <row r="37" spans="2:33" x14ac:dyDescent="0.2">
      <c r="B37" s="49">
        <v>5941</v>
      </c>
      <c r="C37" t="s">
        <v>116</v>
      </c>
      <c r="D37" s="49" t="s">
        <v>117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0">
        <f t="shared" si="0"/>
        <v>0</v>
      </c>
      <c r="V37" s="28">
        <f>F37+'Ny lokal'!F37</f>
        <v>0</v>
      </c>
      <c r="W37" s="28">
        <f>G37+'Ny lokal'!G37</f>
        <v>0</v>
      </c>
      <c r="X37" s="28">
        <f>H37+'Ny lokal'!H37</f>
        <v>0</v>
      </c>
      <c r="Y37" s="28">
        <f>I37+'Ny lokal'!I37</f>
        <v>0</v>
      </c>
      <c r="Z37" s="28">
        <f>J37+'Ny lokal'!J37</f>
        <v>0</v>
      </c>
      <c r="AA37" s="28">
        <f>K37+'Ny lokal'!K37</f>
        <v>0</v>
      </c>
      <c r="AB37" s="28">
        <f>L37+'Ny lokal'!L37</f>
        <v>0</v>
      </c>
      <c r="AC37" s="28">
        <f>M37+'Ny lokal'!M37</f>
        <v>0</v>
      </c>
      <c r="AD37" s="28">
        <f>N37+'Ny lokal'!N37</f>
        <v>0</v>
      </c>
      <c r="AE37" s="28">
        <f>O37+'Ny lokal'!O37</f>
        <v>0</v>
      </c>
      <c r="AF37" s="28">
        <f>P37+'Ny lokal'!P37</f>
        <v>0</v>
      </c>
      <c r="AG37" s="28">
        <f>Q37+'Ny lokal'!Q37</f>
        <v>0</v>
      </c>
    </row>
    <row r="38" spans="2:33" x14ac:dyDescent="0.2">
      <c r="B38" s="49">
        <v>5970</v>
      </c>
      <c r="C38" t="s">
        <v>118</v>
      </c>
      <c r="D38" s="49" t="s">
        <v>119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0">
        <f t="shared" si="0"/>
        <v>0</v>
      </c>
      <c r="V38" s="28">
        <f>F38+'Ny lokal'!F38</f>
        <v>0</v>
      </c>
      <c r="W38" s="28">
        <f>G38+'Ny lokal'!G38</f>
        <v>0</v>
      </c>
      <c r="X38" s="28">
        <f>H38+'Ny lokal'!H38</f>
        <v>0</v>
      </c>
      <c r="Y38" s="28">
        <f>I38+'Ny lokal'!I38</f>
        <v>0</v>
      </c>
      <c r="Z38" s="28">
        <f>J38+'Ny lokal'!J38</f>
        <v>0</v>
      </c>
      <c r="AA38" s="28">
        <f>K38+'Ny lokal'!K38</f>
        <v>0</v>
      </c>
      <c r="AB38" s="28">
        <f>L38+'Ny lokal'!L38</f>
        <v>0</v>
      </c>
      <c r="AC38" s="28">
        <f>M38+'Ny lokal'!M38</f>
        <v>0</v>
      </c>
      <c r="AD38" s="28">
        <f>N38+'Ny lokal'!N38</f>
        <v>0</v>
      </c>
      <c r="AE38" s="28">
        <f>O38+'Ny lokal'!O38</f>
        <v>0</v>
      </c>
      <c r="AF38" s="28">
        <f>P38+'Ny lokal'!P38</f>
        <v>0</v>
      </c>
      <c r="AG38" s="28">
        <f>Q38+'Ny lokal'!Q38</f>
        <v>0</v>
      </c>
    </row>
    <row r="39" spans="2:33" x14ac:dyDescent="0.2">
      <c r="B39" s="49">
        <v>5980</v>
      </c>
      <c r="C39" t="s">
        <v>120</v>
      </c>
      <c r="D39" s="49" t="s">
        <v>121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0">
        <f t="shared" si="0"/>
        <v>0</v>
      </c>
      <c r="V39" s="28">
        <f>F39+'Ny lokal'!F39</f>
        <v>0</v>
      </c>
      <c r="W39" s="28">
        <f>G39+'Ny lokal'!G39</f>
        <v>0</v>
      </c>
      <c r="X39" s="28">
        <f>H39+'Ny lokal'!H39</f>
        <v>0</v>
      </c>
      <c r="Y39" s="28">
        <f>I39+'Ny lokal'!I39</f>
        <v>0</v>
      </c>
      <c r="Z39" s="28">
        <f>J39+'Ny lokal'!J39</f>
        <v>0</v>
      </c>
      <c r="AA39" s="28">
        <f>K39+'Ny lokal'!K39</f>
        <v>0</v>
      </c>
      <c r="AB39" s="28">
        <f>L39+'Ny lokal'!L39</f>
        <v>0</v>
      </c>
      <c r="AC39" s="28">
        <f>M39+'Ny lokal'!M39</f>
        <v>0</v>
      </c>
      <c r="AD39" s="28">
        <f>N39+'Ny lokal'!N39</f>
        <v>0</v>
      </c>
      <c r="AE39" s="28">
        <f>O39+'Ny lokal'!O39</f>
        <v>0</v>
      </c>
      <c r="AF39" s="28">
        <f>P39+'Ny lokal'!P39</f>
        <v>0</v>
      </c>
      <c r="AG39" s="28">
        <f>Q39+'Ny lokal'!Q39</f>
        <v>0</v>
      </c>
    </row>
    <row r="40" spans="2:33" x14ac:dyDescent="0.2">
      <c r="B40" s="49">
        <v>5990</v>
      </c>
      <c r="C40" t="s">
        <v>122</v>
      </c>
      <c r="D40" s="49" t="s">
        <v>123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0">
        <f t="shared" si="0"/>
        <v>0</v>
      </c>
      <c r="V40" s="28">
        <f>F40+'Ny lokal'!F40</f>
        <v>0</v>
      </c>
      <c r="W40" s="28">
        <f>G40+'Ny lokal'!G40</f>
        <v>0</v>
      </c>
      <c r="X40" s="28">
        <f>H40+'Ny lokal'!H40</f>
        <v>0</v>
      </c>
      <c r="Y40" s="28">
        <f>I40+'Ny lokal'!I40</f>
        <v>0</v>
      </c>
      <c r="Z40" s="28">
        <f>J40+'Ny lokal'!J40</f>
        <v>0</v>
      </c>
      <c r="AA40" s="28">
        <f>K40+'Ny lokal'!K40</f>
        <v>0</v>
      </c>
      <c r="AB40" s="28">
        <f>L40+'Ny lokal'!L40</f>
        <v>0</v>
      </c>
      <c r="AC40" s="28">
        <f>M40+'Ny lokal'!M40</f>
        <v>0</v>
      </c>
      <c r="AD40" s="28">
        <f>N40+'Ny lokal'!N40</f>
        <v>0</v>
      </c>
      <c r="AE40" s="28">
        <f>O40+'Ny lokal'!O40</f>
        <v>0</v>
      </c>
      <c r="AF40" s="28">
        <f>P40+'Ny lokal'!P40</f>
        <v>0</v>
      </c>
      <c r="AG40" s="28">
        <f>Q40+'Ny lokal'!Q40</f>
        <v>0</v>
      </c>
    </row>
    <row r="41" spans="2:33" x14ac:dyDescent="0.2">
      <c r="B41" s="49">
        <v>6071</v>
      </c>
      <c r="C41" t="s">
        <v>124</v>
      </c>
      <c r="D41" s="49" t="s">
        <v>125</v>
      </c>
      <c r="F41" s="52">
        <v>1</v>
      </c>
      <c r="G41" s="52">
        <v>1</v>
      </c>
      <c r="H41" s="52">
        <v>1</v>
      </c>
      <c r="I41" s="52">
        <v>1</v>
      </c>
      <c r="J41" s="52">
        <v>1</v>
      </c>
      <c r="K41" s="52">
        <v>1</v>
      </c>
      <c r="L41" s="52">
        <v>1</v>
      </c>
      <c r="M41" s="52">
        <v>1</v>
      </c>
      <c r="N41" s="52">
        <v>1</v>
      </c>
      <c r="O41" s="52">
        <v>1</v>
      </c>
      <c r="P41" s="52">
        <v>1</v>
      </c>
      <c r="Q41" s="52">
        <v>1</v>
      </c>
      <c r="R41" s="50">
        <f t="shared" si="0"/>
        <v>12</v>
      </c>
      <c r="V41" s="28">
        <f>F41+'Ny lokal'!F41</f>
        <v>1</v>
      </c>
      <c r="W41" s="28">
        <f>G41+'Ny lokal'!G41</f>
        <v>1</v>
      </c>
      <c r="X41" s="28">
        <f>H41+'Ny lokal'!H41</f>
        <v>1</v>
      </c>
      <c r="Y41" s="28">
        <f>I41+'Ny lokal'!I41</f>
        <v>1</v>
      </c>
      <c r="Z41" s="28">
        <f>J41+'Ny lokal'!J41</f>
        <v>1</v>
      </c>
      <c r="AA41" s="28">
        <f>K41+'Ny lokal'!K41</f>
        <v>1</v>
      </c>
      <c r="AB41" s="28">
        <f>L41+'Ny lokal'!L41</f>
        <v>1</v>
      </c>
      <c r="AC41" s="28">
        <f>M41+'Ny lokal'!M41</f>
        <v>1</v>
      </c>
      <c r="AD41" s="28">
        <f>N41+'Ny lokal'!N41</f>
        <v>1</v>
      </c>
      <c r="AE41" s="28">
        <f>O41+'Ny lokal'!O41</f>
        <v>1</v>
      </c>
      <c r="AF41" s="28">
        <f>P41+'Ny lokal'!P41</f>
        <v>1</v>
      </c>
      <c r="AG41" s="28">
        <f>Q41+'Ny lokal'!Q41</f>
        <v>1</v>
      </c>
    </row>
    <row r="42" spans="2:33" x14ac:dyDescent="0.2">
      <c r="B42" s="49">
        <v>6072</v>
      </c>
      <c r="C42" t="s">
        <v>127</v>
      </c>
      <c r="D42" s="49" t="s">
        <v>128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0">
        <f t="shared" si="0"/>
        <v>0</v>
      </c>
      <c r="V42" s="28">
        <f>F42+'Ny lokal'!F42</f>
        <v>0</v>
      </c>
      <c r="W42" s="28">
        <f>G42+'Ny lokal'!G42</f>
        <v>0</v>
      </c>
      <c r="X42" s="28">
        <f>H42+'Ny lokal'!H42</f>
        <v>0</v>
      </c>
      <c r="Y42" s="28">
        <f>I42+'Ny lokal'!I42</f>
        <v>0</v>
      </c>
      <c r="Z42" s="28">
        <f>J42+'Ny lokal'!J42</f>
        <v>0</v>
      </c>
      <c r="AA42" s="28">
        <f>K42+'Ny lokal'!K42</f>
        <v>0</v>
      </c>
      <c r="AB42" s="28">
        <f>L42+'Ny lokal'!L42</f>
        <v>0</v>
      </c>
      <c r="AC42" s="28">
        <f>M42+'Ny lokal'!M42</f>
        <v>0</v>
      </c>
      <c r="AD42" s="28">
        <f>N42+'Ny lokal'!N42</f>
        <v>0</v>
      </c>
      <c r="AE42" s="28">
        <f>O42+'Ny lokal'!O42</f>
        <v>0</v>
      </c>
      <c r="AF42" s="28">
        <f>P42+'Ny lokal'!P42</f>
        <v>0</v>
      </c>
      <c r="AG42" s="28">
        <f>Q42+'Ny lokal'!Q42</f>
        <v>0</v>
      </c>
    </row>
    <row r="43" spans="2:33" x14ac:dyDescent="0.2">
      <c r="B43" s="49">
        <v>6090</v>
      </c>
      <c r="C43" t="s">
        <v>129</v>
      </c>
      <c r="D43" s="49" t="s">
        <v>130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50">
        <f t="shared" si="0"/>
        <v>0</v>
      </c>
      <c r="V43" s="28">
        <f>F43+'Ny lokal'!F43</f>
        <v>0</v>
      </c>
      <c r="W43" s="28">
        <f>G43+'Ny lokal'!G43</f>
        <v>0</v>
      </c>
      <c r="X43" s="28">
        <f>H43+'Ny lokal'!H43</f>
        <v>0</v>
      </c>
      <c r="Y43" s="28">
        <f>I43+'Ny lokal'!I43</f>
        <v>0</v>
      </c>
      <c r="Z43" s="28">
        <f>J43+'Ny lokal'!J43</f>
        <v>0</v>
      </c>
      <c r="AA43" s="28">
        <f>K43+'Ny lokal'!K43</f>
        <v>0</v>
      </c>
      <c r="AB43" s="28">
        <f>L43+'Ny lokal'!L43</f>
        <v>0</v>
      </c>
      <c r="AC43" s="28">
        <f>M43+'Ny lokal'!M43</f>
        <v>0</v>
      </c>
      <c r="AD43" s="28">
        <f>N43+'Ny lokal'!N43</f>
        <v>0</v>
      </c>
      <c r="AE43" s="28">
        <f>O43+'Ny lokal'!O43</f>
        <v>0</v>
      </c>
      <c r="AF43" s="28">
        <f>P43+'Ny lokal'!P43</f>
        <v>0</v>
      </c>
      <c r="AG43" s="28">
        <f>Q43+'Ny lokal'!Q43</f>
        <v>0</v>
      </c>
    </row>
    <row r="44" spans="2:33" x14ac:dyDescent="0.2">
      <c r="B44" s="49">
        <v>6091</v>
      </c>
      <c r="C44" t="s">
        <v>131</v>
      </c>
      <c r="D44" s="51" t="s">
        <v>132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50">
        <f t="shared" si="0"/>
        <v>0</v>
      </c>
      <c r="V44" s="28">
        <f>F44+'Ny lokal'!F44</f>
        <v>0</v>
      </c>
      <c r="W44" s="28">
        <f>G44+'Ny lokal'!G44</f>
        <v>0</v>
      </c>
      <c r="X44" s="28">
        <f>H44+'Ny lokal'!H44</f>
        <v>0</v>
      </c>
      <c r="Y44" s="28">
        <f>I44+'Ny lokal'!I44</f>
        <v>0</v>
      </c>
      <c r="Z44" s="28">
        <f>J44+'Ny lokal'!J44</f>
        <v>0</v>
      </c>
      <c r="AA44" s="28">
        <f>K44+'Ny lokal'!K44</f>
        <v>0</v>
      </c>
      <c r="AB44" s="28">
        <f>L44+'Ny lokal'!L44</f>
        <v>0</v>
      </c>
      <c r="AC44" s="28">
        <f>M44+'Ny lokal'!M44</f>
        <v>0</v>
      </c>
      <c r="AD44" s="28">
        <f>N44+'Ny lokal'!N44</f>
        <v>0</v>
      </c>
      <c r="AE44" s="28">
        <f>O44+'Ny lokal'!O44</f>
        <v>0</v>
      </c>
      <c r="AF44" s="28">
        <f>P44+'Ny lokal'!P44</f>
        <v>0</v>
      </c>
      <c r="AG44" s="28">
        <f>Q44+'Ny lokal'!Q44</f>
        <v>0</v>
      </c>
    </row>
    <row r="45" spans="2:33" x14ac:dyDescent="0.2">
      <c r="B45" s="49">
        <v>6092</v>
      </c>
      <c r="C45" t="s">
        <v>133</v>
      </c>
      <c r="D45" s="51" t="s">
        <v>134</v>
      </c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50">
        <f t="shared" si="0"/>
        <v>0</v>
      </c>
      <c r="V45" s="28">
        <f>F45+'Ny lokal'!F45</f>
        <v>0</v>
      </c>
      <c r="W45" s="28">
        <f>G45+'Ny lokal'!G45</f>
        <v>0</v>
      </c>
      <c r="X45" s="28">
        <f>H45+'Ny lokal'!H45</f>
        <v>0</v>
      </c>
      <c r="Y45" s="28">
        <f>I45+'Ny lokal'!I45</f>
        <v>0</v>
      </c>
      <c r="Z45" s="28">
        <f>J45+'Ny lokal'!J45</f>
        <v>0</v>
      </c>
      <c r="AA45" s="28">
        <f>K45+'Ny lokal'!K45</f>
        <v>0</v>
      </c>
      <c r="AB45" s="28">
        <f>L45+'Ny lokal'!L45</f>
        <v>0</v>
      </c>
      <c r="AC45" s="28">
        <f>M45+'Ny lokal'!M45</f>
        <v>0</v>
      </c>
      <c r="AD45" s="28">
        <f>N45+'Ny lokal'!N45</f>
        <v>0</v>
      </c>
      <c r="AE45" s="28">
        <f>O45+'Ny lokal'!O45</f>
        <v>0</v>
      </c>
      <c r="AF45" s="28">
        <f>P45+'Ny lokal'!P45</f>
        <v>0</v>
      </c>
      <c r="AG45" s="28">
        <f>Q45+'Ny lokal'!Q45</f>
        <v>0</v>
      </c>
    </row>
    <row r="46" spans="2:33" x14ac:dyDescent="0.2">
      <c r="B46" s="49">
        <v>6093</v>
      </c>
      <c r="C46" t="s">
        <v>135</v>
      </c>
      <c r="D46" s="51" t="s">
        <v>136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50">
        <f t="shared" si="0"/>
        <v>0</v>
      </c>
      <c r="V46" s="28">
        <f>F46+'Ny lokal'!F46</f>
        <v>0</v>
      </c>
      <c r="W46" s="28">
        <f>G46+'Ny lokal'!G46</f>
        <v>0</v>
      </c>
      <c r="X46" s="28">
        <f>H46+'Ny lokal'!H46</f>
        <v>0</v>
      </c>
      <c r="Y46" s="28">
        <f>I46+'Ny lokal'!I46</f>
        <v>0</v>
      </c>
      <c r="Z46" s="28">
        <f>J46+'Ny lokal'!J46</f>
        <v>0</v>
      </c>
      <c r="AA46" s="28">
        <f>K46+'Ny lokal'!K46</f>
        <v>0</v>
      </c>
      <c r="AB46" s="28">
        <f>L46+'Ny lokal'!L46</f>
        <v>0</v>
      </c>
      <c r="AC46" s="28">
        <f>M46+'Ny lokal'!M46</f>
        <v>0</v>
      </c>
      <c r="AD46" s="28">
        <f>N46+'Ny lokal'!N46</f>
        <v>0</v>
      </c>
      <c r="AE46" s="28">
        <f>O46+'Ny lokal'!O46</f>
        <v>0</v>
      </c>
      <c r="AF46" s="28">
        <f>P46+'Ny lokal'!P46</f>
        <v>0</v>
      </c>
      <c r="AG46" s="28">
        <f>Q46+'Ny lokal'!Q46</f>
        <v>0</v>
      </c>
    </row>
    <row r="47" spans="2:33" x14ac:dyDescent="0.2">
      <c r="B47" s="49">
        <v>6110</v>
      </c>
      <c r="C47" t="s">
        <v>138</v>
      </c>
      <c r="D47" s="49" t="s">
        <v>139</v>
      </c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50">
        <f t="shared" si="0"/>
        <v>0</v>
      </c>
      <c r="V47" s="28">
        <f>F47+'Ny lokal'!F47</f>
        <v>0</v>
      </c>
      <c r="W47" s="28">
        <f>G47+'Ny lokal'!G47</f>
        <v>0</v>
      </c>
      <c r="X47" s="28">
        <f>H47+'Ny lokal'!H47</f>
        <v>0</v>
      </c>
      <c r="Y47" s="28">
        <f>I47+'Ny lokal'!I47</f>
        <v>0</v>
      </c>
      <c r="Z47" s="28">
        <f>J47+'Ny lokal'!J47</f>
        <v>0</v>
      </c>
      <c r="AA47" s="28">
        <f>K47+'Ny lokal'!K47</f>
        <v>0</v>
      </c>
      <c r="AB47" s="28">
        <f>L47+'Ny lokal'!L47</f>
        <v>0</v>
      </c>
      <c r="AC47" s="28">
        <f>M47+'Ny lokal'!M47</f>
        <v>0</v>
      </c>
      <c r="AD47" s="28">
        <f>N47+'Ny lokal'!N47</f>
        <v>0</v>
      </c>
      <c r="AE47" s="28">
        <f>O47+'Ny lokal'!O47</f>
        <v>0</v>
      </c>
      <c r="AF47" s="28">
        <f>P47+'Ny lokal'!P47</f>
        <v>0</v>
      </c>
      <c r="AG47" s="28">
        <f>Q47+'Ny lokal'!Q47</f>
        <v>0</v>
      </c>
    </row>
    <row r="48" spans="2:33" x14ac:dyDescent="0.2">
      <c r="B48" s="49">
        <v>6211</v>
      </c>
      <c r="C48" t="s">
        <v>140</v>
      </c>
      <c r="D48" s="49" t="s">
        <v>141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50">
        <f t="shared" si="0"/>
        <v>0</v>
      </c>
      <c r="V48" s="28">
        <f>F48+'Ny lokal'!F48</f>
        <v>0</v>
      </c>
      <c r="W48" s="28">
        <f>G48+'Ny lokal'!G48</f>
        <v>0</v>
      </c>
      <c r="X48" s="28">
        <f>H48+'Ny lokal'!H48</f>
        <v>0</v>
      </c>
      <c r="Y48" s="28">
        <f>I48+'Ny lokal'!I48</f>
        <v>0</v>
      </c>
      <c r="Z48" s="28">
        <f>J48+'Ny lokal'!J48</f>
        <v>0</v>
      </c>
      <c r="AA48" s="28">
        <f>K48+'Ny lokal'!K48</f>
        <v>0</v>
      </c>
      <c r="AB48" s="28">
        <f>L48+'Ny lokal'!L48</f>
        <v>0</v>
      </c>
      <c r="AC48" s="28">
        <f>M48+'Ny lokal'!M48</f>
        <v>0</v>
      </c>
      <c r="AD48" s="28">
        <f>N48+'Ny lokal'!N48</f>
        <v>0</v>
      </c>
      <c r="AE48" s="28">
        <f>O48+'Ny lokal'!O48</f>
        <v>0</v>
      </c>
      <c r="AF48" s="28">
        <f>P48+'Ny lokal'!P48</f>
        <v>0</v>
      </c>
      <c r="AG48" s="28">
        <f>Q48+'Ny lokal'!Q48</f>
        <v>0</v>
      </c>
    </row>
    <row r="49" spans="2:33" x14ac:dyDescent="0.2">
      <c r="B49" s="49">
        <v>6212</v>
      </c>
      <c r="C49" t="s">
        <v>142</v>
      </c>
      <c r="D49" s="49" t="s">
        <v>143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50">
        <f t="shared" si="0"/>
        <v>0</v>
      </c>
      <c r="V49" s="28">
        <f>F49+'Ny lokal'!F49</f>
        <v>0</v>
      </c>
      <c r="W49" s="28">
        <f>G49+'Ny lokal'!G49</f>
        <v>0</v>
      </c>
      <c r="X49" s="28">
        <f>H49+'Ny lokal'!H49</f>
        <v>0</v>
      </c>
      <c r="Y49" s="28">
        <f>I49+'Ny lokal'!I49</f>
        <v>0</v>
      </c>
      <c r="Z49" s="28">
        <f>J49+'Ny lokal'!J49</f>
        <v>0</v>
      </c>
      <c r="AA49" s="28">
        <f>K49+'Ny lokal'!K49</f>
        <v>0</v>
      </c>
      <c r="AB49" s="28">
        <f>L49+'Ny lokal'!L49</f>
        <v>0</v>
      </c>
      <c r="AC49" s="28">
        <f>M49+'Ny lokal'!M49</f>
        <v>0</v>
      </c>
      <c r="AD49" s="28">
        <f>N49+'Ny lokal'!N49</f>
        <v>0</v>
      </c>
      <c r="AE49" s="28">
        <f>O49+'Ny lokal'!O49</f>
        <v>0</v>
      </c>
      <c r="AF49" s="28">
        <f>P49+'Ny lokal'!P49</f>
        <v>0</v>
      </c>
      <c r="AG49" s="28">
        <f>Q49+'Ny lokal'!Q49</f>
        <v>0</v>
      </c>
    </row>
    <row r="50" spans="2:33" x14ac:dyDescent="0.2">
      <c r="B50" s="49">
        <v>6213</v>
      </c>
      <c r="C50" t="s">
        <v>144</v>
      </c>
      <c r="D50" s="49" t="s">
        <v>145</v>
      </c>
      <c r="F50" s="48">
        <v>5</v>
      </c>
      <c r="G50" s="48">
        <v>5</v>
      </c>
      <c r="H50" s="48">
        <v>5</v>
      </c>
      <c r="I50" s="48">
        <v>5</v>
      </c>
      <c r="J50" s="48">
        <v>5</v>
      </c>
      <c r="K50" s="48">
        <v>5</v>
      </c>
      <c r="L50" s="48">
        <v>5</v>
      </c>
      <c r="M50" s="48">
        <v>5</v>
      </c>
      <c r="N50" s="48">
        <v>5</v>
      </c>
      <c r="O50" s="48">
        <v>5</v>
      </c>
      <c r="P50" s="48">
        <v>5</v>
      </c>
      <c r="Q50" s="48">
        <v>5</v>
      </c>
      <c r="R50" s="50">
        <f t="shared" si="0"/>
        <v>60</v>
      </c>
      <c r="S50" t="s">
        <v>257</v>
      </c>
      <c r="V50" s="28">
        <f>F50+'Ny lokal'!F50</f>
        <v>5</v>
      </c>
      <c r="W50" s="28">
        <f>G50+'Ny lokal'!G50</f>
        <v>5</v>
      </c>
      <c r="X50" s="28">
        <f>H50+'Ny lokal'!H50</f>
        <v>5</v>
      </c>
      <c r="Y50" s="28">
        <f>I50+'Ny lokal'!I50</f>
        <v>5</v>
      </c>
      <c r="Z50" s="28">
        <f>J50+'Ny lokal'!J50</f>
        <v>5</v>
      </c>
      <c r="AA50" s="28">
        <f>K50+'Ny lokal'!K50</f>
        <v>5</v>
      </c>
      <c r="AB50" s="28">
        <f>L50+'Ny lokal'!L50</f>
        <v>5</v>
      </c>
      <c r="AC50" s="28">
        <f>M50+'Ny lokal'!M50</f>
        <v>5</v>
      </c>
      <c r="AD50" s="28">
        <f>N50+'Ny lokal'!N50</f>
        <v>5</v>
      </c>
      <c r="AE50" s="28">
        <f>O50+'Ny lokal'!O50</f>
        <v>5</v>
      </c>
      <c r="AF50" s="28">
        <f>P50+'Ny lokal'!P50</f>
        <v>5</v>
      </c>
      <c r="AG50" s="28">
        <f>Q50+'Ny lokal'!Q50</f>
        <v>5</v>
      </c>
    </row>
    <row r="51" spans="2:33" x14ac:dyDescent="0.2">
      <c r="B51" s="49">
        <v>6230</v>
      </c>
      <c r="C51" t="s">
        <v>147</v>
      </c>
      <c r="D51" s="49" t="s">
        <v>148</v>
      </c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50">
        <f t="shared" si="0"/>
        <v>0</v>
      </c>
      <c r="V51" s="28">
        <f>F51+'Ny lokal'!F51</f>
        <v>0</v>
      </c>
      <c r="W51" s="28">
        <f>G51+'Ny lokal'!G51</f>
        <v>0</v>
      </c>
      <c r="X51" s="28">
        <f>H51+'Ny lokal'!H51</f>
        <v>0</v>
      </c>
      <c r="Y51" s="28">
        <f>I51+'Ny lokal'!I51</f>
        <v>0</v>
      </c>
      <c r="Z51" s="28">
        <f>J51+'Ny lokal'!J51</f>
        <v>0</v>
      </c>
      <c r="AA51" s="28">
        <f>K51+'Ny lokal'!K51</f>
        <v>0</v>
      </c>
      <c r="AB51" s="28">
        <f>L51+'Ny lokal'!L51</f>
        <v>0</v>
      </c>
      <c r="AC51" s="28">
        <f>M51+'Ny lokal'!M51</f>
        <v>0</v>
      </c>
      <c r="AD51" s="28">
        <f>N51+'Ny lokal'!N51</f>
        <v>0</v>
      </c>
      <c r="AE51" s="28">
        <f>O51+'Ny lokal'!O51</f>
        <v>0</v>
      </c>
      <c r="AF51" s="28">
        <f>P51+'Ny lokal'!P51</f>
        <v>0</v>
      </c>
      <c r="AG51" s="28">
        <f>Q51+'Ny lokal'!Q51</f>
        <v>0</v>
      </c>
    </row>
    <row r="52" spans="2:33" x14ac:dyDescent="0.2">
      <c r="B52" s="49">
        <v>6250</v>
      </c>
      <c r="C52" t="s">
        <v>149</v>
      </c>
      <c r="D52" s="49" t="s">
        <v>150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50">
        <f t="shared" si="0"/>
        <v>0</v>
      </c>
      <c r="V52" s="28">
        <f>F52+'Ny lokal'!F52</f>
        <v>0</v>
      </c>
      <c r="W52" s="28">
        <f>G52+'Ny lokal'!G52</f>
        <v>0</v>
      </c>
      <c r="X52" s="28">
        <f>H52+'Ny lokal'!H52</f>
        <v>0</v>
      </c>
      <c r="Y52" s="28">
        <f>I52+'Ny lokal'!I52</f>
        <v>0</v>
      </c>
      <c r="Z52" s="28">
        <f>J52+'Ny lokal'!J52</f>
        <v>0</v>
      </c>
      <c r="AA52" s="28">
        <f>K52+'Ny lokal'!K52</f>
        <v>0</v>
      </c>
      <c r="AB52" s="28">
        <f>L52+'Ny lokal'!L52</f>
        <v>0</v>
      </c>
      <c r="AC52" s="28">
        <f>M52+'Ny lokal'!M52</f>
        <v>0</v>
      </c>
      <c r="AD52" s="28">
        <f>N52+'Ny lokal'!N52</f>
        <v>0</v>
      </c>
      <c r="AE52" s="28">
        <f>O52+'Ny lokal'!O52</f>
        <v>0</v>
      </c>
      <c r="AF52" s="28">
        <f>P52+'Ny lokal'!P52</f>
        <v>0</v>
      </c>
      <c r="AG52" s="28">
        <f>Q52+'Ny lokal'!Q52</f>
        <v>0</v>
      </c>
    </row>
    <row r="53" spans="2:33" x14ac:dyDescent="0.2">
      <c r="B53" s="49">
        <v>6310</v>
      </c>
      <c r="C53" t="s">
        <v>151</v>
      </c>
      <c r="D53" s="49" t="s">
        <v>152</v>
      </c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50">
        <f t="shared" si="0"/>
        <v>0</v>
      </c>
      <c r="V53" s="28">
        <f>F53+'Ny lokal'!F53</f>
        <v>0</v>
      </c>
      <c r="W53" s="28">
        <f>G53+'Ny lokal'!G53</f>
        <v>0</v>
      </c>
      <c r="X53" s="28">
        <f>H53+'Ny lokal'!H53</f>
        <v>0</v>
      </c>
      <c r="Y53" s="28">
        <f>I53+'Ny lokal'!I53</f>
        <v>0</v>
      </c>
      <c r="Z53" s="28">
        <f>J53+'Ny lokal'!J53</f>
        <v>0</v>
      </c>
      <c r="AA53" s="28">
        <f>K53+'Ny lokal'!K53</f>
        <v>0</v>
      </c>
      <c r="AB53" s="28">
        <f>L53+'Ny lokal'!L53</f>
        <v>0</v>
      </c>
      <c r="AC53" s="28">
        <f>M53+'Ny lokal'!M53</f>
        <v>0</v>
      </c>
      <c r="AD53" s="28">
        <f>N53+'Ny lokal'!N53</f>
        <v>0</v>
      </c>
      <c r="AE53" s="28">
        <f>O53+'Ny lokal'!O53</f>
        <v>0</v>
      </c>
      <c r="AF53" s="28">
        <f>P53+'Ny lokal'!P53</f>
        <v>0</v>
      </c>
      <c r="AG53" s="28">
        <f>Q53+'Ny lokal'!Q53</f>
        <v>0</v>
      </c>
    </row>
    <row r="54" spans="2:33" x14ac:dyDescent="0.2">
      <c r="B54" s="49">
        <v>6351</v>
      </c>
      <c r="C54" t="s">
        <v>153</v>
      </c>
      <c r="D54" s="49" t="s">
        <v>154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50">
        <f t="shared" si="0"/>
        <v>0</v>
      </c>
      <c r="V54" s="28">
        <f>F54+'Ny lokal'!F54</f>
        <v>0</v>
      </c>
      <c r="W54" s="28">
        <f>G54+'Ny lokal'!G54</f>
        <v>0</v>
      </c>
      <c r="X54" s="28">
        <f>H54+'Ny lokal'!H54</f>
        <v>0</v>
      </c>
      <c r="Y54" s="28">
        <f>I54+'Ny lokal'!I54</f>
        <v>0</v>
      </c>
      <c r="Z54" s="28">
        <f>J54+'Ny lokal'!J54</f>
        <v>0</v>
      </c>
      <c r="AA54" s="28">
        <f>K54+'Ny lokal'!K54</f>
        <v>0</v>
      </c>
      <c r="AB54" s="28">
        <f>L54+'Ny lokal'!L54</f>
        <v>0</v>
      </c>
      <c r="AC54" s="28">
        <f>M54+'Ny lokal'!M54</f>
        <v>0</v>
      </c>
      <c r="AD54" s="28">
        <f>N54+'Ny lokal'!N54</f>
        <v>0</v>
      </c>
      <c r="AE54" s="28">
        <f>O54+'Ny lokal'!O54</f>
        <v>0</v>
      </c>
      <c r="AF54" s="28">
        <f>P54+'Ny lokal'!P54</f>
        <v>0</v>
      </c>
      <c r="AG54" s="28">
        <f>Q54+'Ny lokal'!Q54</f>
        <v>0</v>
      </c>
    </row>
    <row r="55" spans="2:33" x14ac:dyDescent="0.2">
      <c r="B55" s="49">
        <v>6370</v>
      </c>
      <c r="C55" t="s">
        <v>155</v>
      </c>
      <c r="D55" s="49" t="s">
        <v>156</v>
      </c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50">
        <f t="shared" si="0"/>
        <v>0</v>
      </c>
      <c r="V55" s="28">
        <f>F55+'Ny lokal'!F55</f>
        <v>0</v>
      </c>
      <c r="W55" s="28">
        <f>G55+'Ny lokal'!G55</f>
        <v>0</v>
      </c>
      <c r="X55" s="28">
        <f>H55+'Ny lokal'!H55</f>
        <v>0</v>
      </c>
      <c r="Y55" s="28">
        <f>I55+'Ny lokal'!I55</f>
        <v>0</v>
      </c>
      <c r="Z55" s="28">
        <f>J55+'Ny lokal'!J55</f>
        <v>0</v>
      </c>
      <c r="AA55" s="28">
        <f>K55+'Ny lokal'!K55</f>
        <v>0</v>
      </c>
      <c r="AB55" s="28">
        <f>L55+'Ny lokal'!L55</f>
        <v>0</v>
      </c>
      <c r="AC55" s="28">
        <f>M55+'Ny lokal'!M55</f>
        <v>0</v>
      </c>
      <c r="AD55" s="28">
        <f>N55+'Ny lokal'!N55</f>
        <v>0</v>
      </c>
      <c r="AE55" s="28">
        <f>O55+'Ny lokal'!O55</f>
        <v>0</v>
      </c>
      <c r="AF55" s="28">
        <f>P55+'Ny lokal'!P55</f>
        <v>0</v>
      </c>
      <c r="AG55" s="28">
        <f>Q55+'Ny lokal'!Q55</f>
        <v>0</v>
      </c>
    </row>
    <row r="56" spans="2:33" x14ac:dyDescent="0.2">
      <c r="B56" s="49">
        <v>6420</v>
      </c>
      <c r="C56" t="s">
        <v>157</v>
      </c>
      <c r="D56" s="49" t="s">
        <v>158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50">
        <f t="shared" si="0"/>
        <v>0</v>
      </c>
      <c r="V56" s="28">
        <f>F56+'Ny lokal'!F56</f>
        <v>0</v>
      </c>
      <c r="W56" s="28">
        <f>G56+'Ny lokal'!G56</f>
        <v>0</v>
      </c>
      <c r="X56" s="28">
        <f>H56+'Ny lokal'!H56</f>
        <v>0</v>
      </c>
      <c r="Y56" s="28">
        <f>I56+'Ny lokal'!I56</f>
        <v>0</v>
      </c>
      <c r="Z56" s="28">
        <f>J56+'Ny lokal'!J56</f>
        <v>0</v>
      </c>
      <c r="AA56" s="28">
        <f>K56+'Ny lokal'!K56</f>
        <v>0</v>
      </c>
      <c r="AB56" s="28">
        <f>L56+'Ny lokal'!L56</f>
        <v>0</v>
      </c>
      <c r="AC56" s="28">
        <f>M56+'Ny lokal'!M56</f>
        <v>0</v>
      </c>
      <c r="AD56" s="28">
        <f>N56+'Ny lokal'!N56</f>
        <v>0</v>
      </c>
      <c r="AE56" s="28">
        <f>O56+'Ny lokal'!O56</f>
        <v>0</v>
      </c>
      <c r="AF56" s="28">
        <f>P56+'Ny lokal'!P56</f>
        <v>0</v>
      </c>
      <c r="AG56" s="28">
        <f>Q56+'Ny lokal'!Q56</f>
        <v>0</v>
      </c>
    </row>
    <row r="57" spans="2:33" x14ac:dyDescent="0.2">
      <c r="B57" s="49">
        <v>6430</v>
      </c>
      <c r="C57" t="s">
        <v>160</v>
      </c>
      <c r="D57" s="49" t="s">
        <v>161</v>
      </c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50">
        <f t="shared" si="0"/>
        <v>0</v>
      </c>
      <c r="V57" s="28">
        <f>F57+'Ny lokal'!F57</f>
        <v>0</v>
      </c>
      <c r="W57" s="28">
        <f>G57+'Ny lokal'!G57</f>
        <v>0</v>
      </c>
      <c r="X57" s="28">
        <f>H57+'Ny lokal'!H57</f>
        <v>0</v>
      </c>
      <c r="Y57" s="28">
        <f>I57+'Ny lokal'!I57</f>
        <v>0</v>
      </c>
      <c r="Z57" s="28">
        <f>J57+'Ny lokal'!J57</f>
        <v>0</v>
      </c>
      <c r="AA57" s="28">
        <f>K57+'Ny lokal'!K57</f>
        <v>0</v>
      </c>
      <c r="AB57" s="28">
        <f>L57+'Ny lokal'!L57</f>
        <v>0</v>
      </c>
      <c r="AC57" s="28">
        <f>M57+'Ny lokal'!M57</f>
        <v>0</v>
      </c>
      <c r="AD57" s="28">
        <f>N57+'Ny lokal'!N57</f>
        <v>0</v>
      </c>
      <c r="AE57" s="28">
        <f>O57+'Ny lokal'!O57</f>
        <v>0</v>
      </c>
      <c r="AF57" s="28">
        <f>P57+'Ny lokal'!P57</f>
        <v>0</v>
      </c>
      <c r="AG57" s="28">
        <f>Q57+'Ny lokal'!Q57</f>
        <v>0</v>
      </c>
    </row>
    <row r="58" spans="2:33" x14ac:dyDescent="0.2">
      <c r="B58" s="49">
        <v>6530</v>
      </c>
      <c r="C58" t="s">
        <v>162</v>
      </c>
      <c r="D58" s="49" t="s">
        <v>163</v>
      </c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50">
        <f t="shared" si="0"/>
        <v>0</v>
      </c>
      <c r="V58" s="28">
        <f>F58+'Ny lokal'!F58</f>
        <v>0</v>
      </c>
      <c r="W58" s="28">
        <f>G58+'Ny lokal'!G58</f>
        <v>0</v>
      </c>
      <c r="X58" s="28">
        <f>H58+'Ny lokal'!H58</f>
        <v>0</v>
      </c>
      <c r="Y58" s="28">
        <f>I58+'Ny lokal'!I58</f>
        <v>0</v>
      </c>
      <c r="Z58" s="28">
        <f>J58+'Ny lokal'!J58</f>
        <v>0</v>
      </c>
      <c r="AA58" s="28">
        <f>K58+'Ny lokal'!K58</f>
        <v>0</v>
      </c>
      <c r="AB58" s="28">
        <f>L58+'Ny lokal'!L58</f>
        <v>0</v>
      </c>
      <c r="AC58" s="28">
        <f>M58+'Ny lokal'!M58</f>
        <v>0</v>
      </c>
      <c r="AD58" s="28">
        <f>N58+'Ny lokal'!N58</f>
        <v>0</v>
      </c>
      <c r="AE58" s="28">
        <f>O58+'Ny lokal'!O58</f>
        <v>0</v>
      </c>
      <c r="AF58" s="28">
        <f>P58+'Ny lokal'!P58</f>
        <v>0</v>
      </c>
      <c r="AG58" s="28">
        <f>Q58+'Ny lokal'!Q58</f>
        <v>0</v>
      </c>
    </row>
    <row r="59" spans="2:33" x14ac:dyDescent="0.2">
      <c r="B59" s="49">
        <v>6540</v>
      </c>
      <c r="C59" t="s">
        <v>137</v>
      </c>
      <c r="D59" s="49" t="s">
        <v>164</v>
      </c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50">
        <f t="shared" si="0"/>
        <v>0</v>
      </c>
      <c r="V59" s="28">
        <f>F59+'Ny lokal'!F59</f>
        <v>0</v>
      </c>
      <c r="W59" s="28">
        <f>G59+'Ny lokal'!G59</f>
        <v>0</v>
      </c>
      <c r="X59" s="28">
        <f>H59+'Ny lokal'!H59</f>
        <v>0</v>
      </c>
      <c r="Y59" s="28">
        <f>I59+'Ny lokal'!I59</f>
        <v>0</v>
      </c>
      <c r="Z59" s="28">
        <f>J59+'Ny lokal'!J59</f>
        <v>0</v>
      </c>
      <c r="AA59" s="28">
        <f>K59+'Ny lokal'!K59</f>
        <v>0</v>
      </c>
      <c r="AB59" s="28">
        <f>L59+'Ny lokal'!L59</f>
        <v>0</v>
      </c>
      <c r="AC59" s="28">
        <f>M59+'Ny lokal'!M59</f>
        <v>0</v>
      </c>
      <c r="AD59" s="28">
        <f>N59+'Ny lokal'!N59</f>
        <v>0</v>
      </c>
      <c r="AE59" s="28">
        <f>O59+'Ny lokal'!O59</f>
        <v>0</v>
      </c>
      <c r="AF59" s="28">
        <f>P59+'Ny lokal'!P59</f>
        <v>0</v>
      </c>
      <c r="AG59" s="28">
        <f>Q59+'Ny lokal'!Q59</f>
        <v>0</v>
      </c>
    </row>
    <row r="60" spans="2:33" x14ac:dyDescent="0.2">
      <c r="B60" s="49">
        <v>6550</v>
      </c>
      <c r="C60" t="s">
        <v>165</v>
      </c>
      <c r="D60" s="49" t="s">
        <v>166</v>
      </c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50">
        <f t="shared" si="0"/>
        <v>0</v>
      </c>
      <c r="V60" s="28">
        <f>F60+'Ny lokal'!F60</f>
        <v>0</v>
      </c>
      <c r="W60" s="28">
        <f>G60+'Ny lokal'!G60</f>
        <v>0</v>
      </c>
      <c r="X60" s="28">
        <f>H60+'Ny lokal'!H60</f>
        <v>0</v>
      </c>
      <c r="Y60" s="28">
        <f>I60+'Ny lokal'!I60</f>
        <v>0</v>
      </c>
      <c r="Z60" s="28">
        <f>J60+'Ny lokal'!J60</f>
        <v>0</v>
      </c>
      <c r="AA60" s="28">
        <f>K60+'Ny lokal'!K60</f>
        <v>0</v>
      </c>
      <c r="AB60" s="28">
        <f>L60+'Ny lokal'!L60</f>
        <v>0</v>
      </c>
      <c r="AC60" s="28">
        <f>M60+'Ny lokal'!M60</f>
        <v>0</v>
      </c>
      <c r="AD60" s="28">
        <f>N60+'Ny lokal'!N60</f>
        <v>0</v>
      </c>
      <c r="AE60" s="28">
        <f>O60+'Ny lokal'!O60</f>
        <v>0</v>
      </c>
      <c r="AF60" s="28">
        <f>P60+'Ny lokal'!P60</f>
        <v>0</v>
      </c>
      <c r="AG60" s="28">
        <f>Q60+'Ny lokal'!Q60</f>
        <v>0</v>
      </c>
    </row>
    <row r="61" spans="2:33" x14ac:dyDescent="0.2">
      <c r="B61" s="49">
        <v>6560</v>
      </c>
      <c r="C61" t="s">
        <v>167</v>
      </c>
      <c r="D61" s="49" t="s">
        <v>168</v>
      </c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50">
        <f t="shared" si="0"/>
        <v>0</v>
      </c>
      <c r="V61" s="28">
        <f>F61+'Ny lokal'!F61</f>
        <v>0</v>
      </c>
      <c r="W61" s="28">
        <f>G61+'Ny lokal'!G61</f>
        <v>0</v>
      </c>
      <c r="X61" s="28">
        <f>H61+'Ny lokal'!H61</f>
        <v>0</v>
      </c>
      <c r="Y61" s="28">
        <f>I61+'Ny lokal'!I61</f>
        <v>0</v>
      </c>
      <c r="Z61" s="28">
        <f>J61+'Ny lokal'!J61</f>
        <v>0</v>
      </c>
      <c r="AA61" s="28">
        <f>K61+'Ny lokal'!K61</f>
        <v>0</v>
      </c>
      <c r="AB61" s="28">
        <f>L61+'Ny lokal'!L61</f>
        <v>0</v>
      </c>
      <c r="AC61" s="28">
        <f>M61+'Ny lokal'!M61</f>
        <v>0</v>
      </c>
      <c r="AD61" s="28">
        <f>N61+'Ny lokal'!N61</f>
        <v>0</v>
      </c>
      <c r="AE61" s="28">
        <f>O61+'Ny lokal'!O61</f>
        <v>0</v>
      </c>
      <c r="AF61" s="28">
        <f>P61+'Ny lokal'!P61</f>
        <v>0</v>
      </c>
      <c r="AG61" s="28">
        <f>Q61+'Ny lokal'!Q61</f>
        <v>0</v>
      </c>
    </row>
    <row r="62" spans="2:33" x14ac:dyDescent="0.2">
      <c r="B62" s="49">
        <v>6570</v>
      </c>
      <c r="C62" t="s">
        <v>169</v>
      </c>
      <c r="D62" s="49" t="s">
        <v>170</v>
      </c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50">
        <f t="shared" si="0"/>
        <v>0</v>
      </c>
      <c r="V62" s="28">
        <f>F62+'Ny lokal'!F62</f>
        <v>0</v>
      </c>
      <c r="W62" s="28">
        <f>G62+'Ny lokal'!G62</f>
        <v>0</v>
      </c>
      <c r="X62" s="28">
        <f>H62+'Ny lokal'!H62</f>
        <v>0</v>
      </c>
      <c r="Y62" s="28">
        <f>I62+'Ny lokal'!I62</f>
        <v>0</v>
      </c>
      <c r="Z62" s="28">
        <f>J62+'Ny lokal'!J62</f>
        <v>0</v>
      </c>
      <c r="AA62" s="28">
        <f>K62+'Ny lokal'!K62</f>
        <v>0</v>
      </c>
      <c r="AB62" s="28">
        <f>L62+'Ny lokal'!L62</f>
        <v>0</v>
      </c>
      <c r="AC62" s="28">
        <f>M62+'Ny lokal'!M62</f>
        <v>0</v>
      </c>
      <c r="AD62" s="28">
        <f>N62+'Ny lokal'!N62</f>
        <v>0</v>
      </c>
      <c r="AE62" s="28">
        <f>O62+'Ny lokal'!O62</f>
        <v>0</v>
      </c>
      <c r="AF62" s="28">
        <f>P62+'Ny lokal'!P62</f>
        <v>0</v>
      </c>
      <c r="AG62" s="28">
        <f>Q62+'Ny lokal'!Q62</f>
        <v>0</v>
      </c>
    </row>
    <row r="63" spans="2:33" x14ac:dyDescent="0.2">
      <c r="B63" s="49">
        <v>6580</v>
      </c>
      <c r="C63" t="s">
        <v>172</v>
      </c>
      <c r="D63" s="49" t="s">
        <v>173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50">
        <f t="shared" si="0"/>
        <v>0</v>
      </c>
      <c r="V63" s="28">
        <f>F63+'Ny lokal'!F63</f>
        <v>0</v>
      </c>
      <c r="W63" s="28">
        <f>G63+'Ny lokal'!G63</f>
        <v>0</v>
      </c>
      <c r="X63" s="28">
        <f>H63+'Ny lokal'!H63</f>
        <v>0</v>
      </c>
      <c r="Y63" s="28">
        <f>I63+'Ny lokal'!I63</f>
        <v>0</v>
      </c>
      <c r="Z63" s="28">
        <f>J63+'Ny lokal'!J63</f>
        <v>0</v>
      </c>
      <c r="AA63" s="28">
        <f>K63+'Ny lokal'!K63</f>
        <v>0</v>
      </c>
      <c r="AB63" s="28">
        <f>L63+'Ny lokal'!L63</f>
        <v>0</v>
      </c>
      <c r="AC63" s="28">
        <f>M63+'Ny lokal'!M63</f>
        <v>0</v>
      </c>
      <c r="AD63" s="28">
        <f>N63+'Ny lokal'!N63</f>
        <v>0</v>
      </c>
      <c r="AE63" s="28">
        <f>O63+'Ny lokal'!O63</f>
        <v>0</v>
      </c>
      <c r="AF63" s="28">
        <f>P63+'Ny lokal'!P63</f>
        <v>0</v>
      </c>
      <c r="AG63" s="28">
        <f>Q63+'Ny lokal'!Q63</f>
        <v>0</v>
      </c>
    </row>
    <row r="64" spans="2:33" x14ac:dyDescent="0.2">
      <c r="B64" s="49">
        <v>6590</v>
      </c>
      <c r="C64" t="s">
        <v>174</v>
      </c>
      <c r="D64" s="49" t="s">
        <v>175</v>
      </c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50">
        <f t="shared" si="0"/>
        <v>0</v>
      </c>
      <c r="V64" s="28">
        <f>F64+'Ny lokal'!F64</f>
        <v>0</v>
      </c>
      <c r="W64" s="28">
        <f>G64+'Ny lokal'!G64</f>
        <v>0</v>
      </c>
      <c r="X64" s="28">
        <f>H64+'Ny lokal'!H64</f>
        <v>0</v>
      </c>
      <c r="Y64" s="28">
        <f>I64+'Ny lokal'!I64</f>
        <v>0</v>
      </c>
      <c r="Z64" s="28">
        <f>J64+'Ny lokal'!J64</f>
        <v>0</v>
      </c>
      <c r="AA64" s="28">
        <f>K64+'Ny lokal'!K64</f>
        <v>0</v>
      </c>
      <c r="AB64" s="28">
        <f>L64+'Ny lokal'!L64</f>
        <v>0</v>
      </c>
      <c r="AC64" s="28">
        <f>M64+'Ny lokal'!M64</f>
        <v>0</v>
      </c>
      <c r="AD64" s="28">
        <f>N64+'Ny lokal'!N64</f>
        <v>0</v>
      </c>
      <c r="AE64" s="28">
        <f>O64+'Ny lokal'!O64</f>
        <v>0</v>
      </c>
      <c r="AF64" s="28">
        <f>P64+'Ny lokal'!P64</f>
        <v>0</v>
      </c>
      <c r="AG64" s="28">
        <f>Q64+'Ny lokal'!Q64</f>
        <v>0</v>
      </c>
    </row>
    <row r="65" spans="2:33" x14ac:dyDescent="0.2">
      <c r="B65" s="49">
        <v>6920</v>
      </c>
      <c r="C65" t="s">
        <v>176</v>
      </c>
      <c r="D65" s="49" t="s">
        <v>177</v>
      </c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50">
        <f t="shared" si="0"/>
        <v>0</v>
      </c>
      <c r="V65" s="28">
        <f>F65+'Ny lokal'!F65</f>
        <v>0</v>
      </c>
      <c r="W65" s="28">
        <f>G65+'Ny lokal'!G65</f>
        <v>0</v>
      </c>
      <c r="X65" s="28">
        <f>H65+'Ny lokal'!H65</f>
        <v>0</v>
      </c>
      <c r="Y65" s="28">
        <f>I65+'Ny lokal'!I65</f>
        <v>0</v>
      </c>
      <c r="Z65" s="28">
        <f>J65+'Ny lokal'!J65</f>
        <v>0</v>
      </c>
      <c r="AA65" s="28">
        <f>K65+'Ny lokal'!K65</f>
        <v>0</v>
      </c>
      <c r="AB65" s="28">
        <f>L65+'Ny lokal'!L65</f>
        <v>0</v>
      </c>
      <c r="AC65" s="28">
        <f>M65+'Ny lokal'!M65</f>
        <v>0</v>
      </c>
      <c r="AD65" s="28">
        <f>N65+'Ny lokal'!N65</f>
        <v>0</v>
      </c>
      <c r="AE65" s="28">
        <f>O65+'Ny lokal'!O65</f>
        <v>0</v>
      </c>
      <c r="AF65" s="28">
        <f>P65+'Ny lokal'!P65</f>
        <v>0</v>
      </c>
      <c r="AG65" s="28">
        <f>Q65+'Ny lokal'!Q65</f>
        <v>0</v>
      </c>
    </row>
    <row r="66" spans="2:33" x14ac:dyDescent="0.2">
      <c r="B66" s="49">
        <v>6940</v>
      </c>
      <c r="C66" t="s">
        <v>179</v>
      </c>
      <c r="D66" s="49" t="s">
        <v>180</v>
      </c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50">
        <f t="shared" si="0"/>
        <v>0</v>
      </c>
      <c r="V66" s="28">
        <f>F66+'Ny lokal'!F66</f>
        <v>0</v>
      </c>
      <c r="W66" s="28">
        <f>G66+'Ny lokal'!G66</f>
        <v>0</v>
      </c>
      <c r="X66" s="28">
        <f>H66+'Ny lokal'!H66</f>
        <v>0</v>
      </c>
      <c r="Y66" s="28">
        <f>I66+'Ny lokal'!I66</f>
        <v>0</v>
      </c>
      <c r="Z66" s="28">
        <f>J66+'Ny lokal'!J66</f>
        <v>0</v>
      </c>
      <c r="AA66" s="28">
        <f>K66+'Ny lokal'!K66</f>
        <v>0</v>
      </c>
      <c r="AB66" s="28">
        <f>L66+'Ny lokal'!L66</f>
        <v>0</v>
      </c>
      <c r="AC66" s="28">
        <f>M66+'Ny lokal'!M66</f>
        <v>0</v>
      </c>
      <c r="AD66" s="28">
        <f>N66+'Ny lokal'!N66</f>
        <v>0</v>
      </c>
      <c r="AE66" s="28">
        <f>O66+'Ny lokal'!O66</f>
        <v>0</v>
      </c>
      <c r="AF66" s="28">
        <f>P66+'Ny lokal'!P66</f>
        <v>0</v>
      </c>
      <c r="AG66" s="28">
        <f>Q66+'Ny lokal'!Q66</f>
        <v>0</v>
      </c>
    </row>
    <row r="67" spans="2:33" x14ac:dyDescent="0.2">
      <c r="B67" s="49">
        <v>6950</v>
      </c>
      <c r="C67" t="s">
        <v>181</v>
      </c>
      <c r="D67" s="49" t="str">
        <f>B67 &amp; C67</f>
        <v>6950Tillsynsavgifter till myndigheter</v>
      </c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50">
        <f t="shared" ref="R67:R104" si="4">SUM(F67:Q67)</f>
        <v>0</v>
      </c>
      <c r="V67" s="28">
        <f>F67+'Ny lokal'!F67</f>
        <v>0</v>
      </c>
      <c r="W67" s="28">
        <f>G67+'Ny lokal'!G67</f>
        <v>0</v>
      </c>
      <c r="X67" s="28">
        <f>H67+'Ny lokal'!H67</f>
        <v>0</v>
      </c>
      <c r="Y67" s="28">
        <f>I67+'Ny lokal'!I67</f>
        <v>0</v>
      </c>
      <c r="Z67" s="28">
        <f>J67+'Ny lokal'!J67</f>
        <v>0</v>
      </c>
      <c r="AA67" s="28">
        <f>K67+'Ny lokal'!K67</f>
        <v>0</v>
      </c>
      <c r="AB67" s="28">
        <f>L67+'Ny lokal'!L67</f>
        <v>0</v>
      </c>
      <c r="AC67" s="28">
        <f>M67+'Ny lokal'!M67</f>
        <v>0</v>
      </c>
      <c r="AD67" s="28">
        <f>N67+'Ny lokal'!N67</f>
        <v>0</v>
      </c>
      <c r="AE67" s="28">
        <f>O67+'Ny lokal'!O67</f>
        <v>0</v>
      </c>
      <c r="AF67" s="28">
        <f>P67+'Ny lokal'!P67</f>
        <v>0</v>
      </c>
      <c r="AG67" s="28">
        <f>Q67+'Ny lokal'!Q67</f>
        <v>0</v>
      </c>
    </row>
    <row r="68" spans="2:33" x14ac:dyDescent="0.2">
      <c r="B68" s="49">
        <v>6970</v>
      </c>
      <c r="C68" t="s">
        <v>182</v>
      </c>
      <c r="D68" s="49" t="s">
        <v>183</v>
      </c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50">
        <f t="shared" si="4"/>
        <v>0</v>
      </c>
      <c r="V68" s="28">
        <f>F68+'Ny lokal'!F68</f>
        <v>0</v>
      </c>
      <c r="W68" s="28">
        <f>G68+'Ny lokal'!G68</f>
        <v>0</v>
      </c>
      <c r="X68" s="28">
        <f>H68+'Ny lokal'!H68</f>
        <v>0</v>
      </c>
      <c r="Y68" s="28">
        <f>I68+'Ny lokal'!I68</f>
        <v>0</v>
      </c>
      <c r="Z68" s="28">
        <f>J68+'Ny lokal'!J68</f>
        <v>0</v>
      </c>
      <c r="AA68" s="28">
        <f>K68+'Ny lokal'!K68</f>
        <v>0</v>
      </c>
      <c r="AB68" s="28">
        <f>L68+'Ny lokal'!L68</f>
        <v>0</v>
      </c>
      <c r="AC68" s="28">
        <f>M68+'Ny lokal'!M68</f>
        <v>0</v>
      </c>
      <c r="AD68" s="28">
        <f>N68+'Ny lokal'!N68</f>
        <v>0</v>
      </c>
      <c r="AE68" s="28">
        <f>O68+'Ny lokal'!O68</f>
        <v>0</v>
      </c>
      <c r="AF68" s="28">
        <f>P68+'Ny lokal'!P68</f>
        <v>0</v>
      </c>
      <c r="AG68" s="28">
        <f>Q68+'Ny lokal'!Q68</f>
        <v>0</v>
      </c>
    </row>
    <row r="69" spans="2:33" x14ac:dyDescent="0.2">
      <c r="B69" s="49">
        <v>6981</v>
      </c>
      <c r="C69" t="s">
        <v>185</v>
      </c>
      <c r="D69" s="49" t="s">
        <v>186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50">
        <f t="shared" si="4"/>
        <v>0</v>
      </c>
      <c r="V69" s="28">
        <f>F69+'Ny lokal'!F69</f>
        <v>0</v>
      </c>
      <c r="W69" s="28">
        <f>G69+'Ny lokal'!G69</f>
        <v>0</v>
      </c>
      <c r="X69" s="28">
        <f>H69+'Ny lokal'!H69</f>
        <v>0</v>
      </c>
      <c r="Y69" s="28">
        <f>I69+'Ny lokal'!I69</f>
        <v>0</v>
      </c>
      <c r="Z69" s="28">
        <f>J69+'Ny lokal'!J69</f>
        <v>0</v>
      </c>
      <c r="AA69" s="28">
        <f>K69+'Ny lokal'!K69</f>
        <v>0</v>
      </c>
      <c r="AB69" s="28">
        <f>L69+'Ny lokal'!L69</f>
        <v>0</v>
      </c>
      <c r="AC69" s="28">
        <f>M69+'Ny lokal'!M69</f>
        <v>0</v>
      </c>
      <c r="AD69" s="28">
        <f>N69+'Ny lokal'!N69</f>
        <v>0</v>
      </c>
      <c r="AE69" s="28">
        <f>O69+'Ny lokal'!O69</f>
        <v>0</v>
      </c>
      <c r="AF69" s="28">
        <f>P69+'Ny lokal'!P69</f>
        <v>0</v>
      </c>
      <c r="AG69" s="28">
        <f>Q69+'Ny lokal'!Q69</f>
        <v>0</v>
      </c>
    </row>
    <row r="70" spans="2:33" x14ac:dyDescent="0.2">
      <c r="B70" s="49">
        <v>6982</v>
      </c>
      <c r="C70" t="s">
        <v>187</v>
      </c>
      <c r="D70" s="49" t="s">
        <v>188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50">
        <f t="shared" si="4"/>
        <v>0</v>
      </c>
      <c r="V70" s="28">
        <f>F70+'Ny lokal'!F70</f>
        <v>0</v>
      </c>
      <c r="W70" s="28">
        <f>G70+'Ny lokal'!G70</f>
        <v>0</v>
      </c>
      <c r="X70" s="28">
        <f>H70+'Ny lokal'!H70</f>
        <v>0</v>
      </c>
      <c r="Y70" s="28">
        <f>I70+'Ny lokal'!I70</f>
        <v>0</v>
      </c>
      <c r="Z70" s="28">
        <f>J70+'Ny lokal'!J70</f>
        <v>0</v>
      </c>
      <c r="AA70" s="28">
        <f>K70+'Ny lokal'!K70</f>
        <v>0</v>
      </c>
      <c r="AB70" s="28">
        <f>L70+'Ny lokal'!L70</f>
        <v>0</v>
      </c>
      <c r="AC70" s="28">
        <f>M70+'Ny lokal'!M70</f>
        <v>0</v>
      </c>
      <c r="AD70" s="28">
        <f>N70+'Ny lokal'!N70</f>
        <v>0</v>
      </c>
      <c r="AE70" s="28">
        <f>O70+'Ny lokal'!O70</f>
        <v>0</v>
      </c>
      <c r="AF70" s="28">
        <f>P70+'Ny lokal'!P70</f>
        <v>0</v>
      </c>
      <c r="AG70" s="28">
        <f>Q70+'Ny lokal'!Q70</f>
        <v>0</v>
      </c>
    </row>
    <row r="71" spans="2:33" x14ac:dyDescent="0.2">
      <c r="B71" s="49">
        <v>6991</v>
      </c>
      <c r="C71" t="s">
        <v>146</v>
      </c>
      <c r="D71" s="49" t="s">
        <v>189</v>
      </c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50">
        <f t="shared" si="4"/>
        <v>0</v>
      </c>
      <c r="V71" s="28">
        <f>F71+'Ny lokal'!F71</f>
        <v>0</v>
      </c>
      <c r="W71" s="28">
        <f>G71+'Ny lokal'!G71</f>
        <v>0</v>
      </c>
      <c r="X71" s="28">
        <f>H71+'Ny lokal'!H71</f>
        <v>0</v>
      </c>
      <c r="Y71" s="28">
        <f>I71+'Ny lokal'!I71</f>
        <v>0</v>
      </c>
      <c r="Z71" s="28">
        <f>J71+'Ny lokal'!J71</f>
        <v>0</v>
      </c>
      <c r="AA71" s="28">
        <f>K71+'Ny lokal'!K71</f>
        <v>0</v>
      </c>
      <c r="AB71" s="28">
        <f>L71+'Ny lokal'!L71</f>
        <v>0</v>
      </c>
      <c r="AC71" s="28">
        <f>M71+'Ny lokal'!M71</f>
        <v>0</v>
      </c>
      <c r="AD71" s="28">
        <f>N71+'Ny lokal'!N71</f>
        <v>0</v>
      </c>
      <c r="AE71" s="28">
        <f>O71+'Ny lokal'!O71</f>
        <v>0</v>
      </c>
      <c r="AF71" s="28">
        <f>P71+'Ny lokal'!P71</f>
        <v>0</v>
      </c>
      <c r="AG71" s="28">
        <f>Q71+'Ny lokal'!Q71</f>
        <v>0</v>
      </c>
    </row>
    <row r="72" spans="2:33" x14ac:dyDescent="0.2">
      <c r="B72" s="49">
        <v>6992</v>
      </c>
      <c r="C72" t="s">
        <v>190</v>
      </c>
      <c r="D72" s="49" t="s">
        <v>191</v>
      </c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50">
        <f t="shared" si="4"/>
        <v>0</v>
      </c>
      <c r="V72" s="28">
        <f>F72+'Ny lokal'!F72</f>
        <v>0</v>
      </c>
      <c r="W72" s="28">
        <f>G72+'Ny lokal'!G72</f>
        <v>0</v>
      </c>
      <c r="X72" s="28">
        <f>H72+'Ny lokal'!H72</f>
        <v>0</v>
      </c>
      <c r="Y72" s="28">
        <f>I72+'Ny lokal'!I72</f>
        <v>0</v>
      </c>
      <c r="Z72" s="28">
        <f>J72+'Ny lokal'!J72</f>
        <v>0</v>
      </c>
      <c r="AA72" s="28">
        <f>K72+'Ny lokal'!K72</f>
        <v>0</v>
      </c>
      <c r="AB72" s="28">
        <f>L72+'Ny lokal'!L72</f>
        <v>0</v>
      </c>
      <c r="AC72" s="28">
        <f>M72+'Ny lokal'!M72</f>
        <v>0</v>
      </c>
      <c r="AD72" s="28">
        <f>N72+'Ny lokal'!N72</f>
        <v>0</v>
      </c>
      <c r="AE72" s="28">
        <f>O72+'Ny lokal'!O72</f>
        <v>0</v>
      </c>
      <c r="AF72" s="28">
        <f>P72+'Ny lokal'!P72</f>
        <v>0</v>
      </c>
      <c r="AG72" s="28">
        <f>Q72+'Ny lokal'!Q72</f>
        <v>0</v>
      </c>
    </row>
    <row r="73" spans="2:33" x14ac:dyDescent="0.2">
      <c r="B73" s="49">
        <v>7010</v>
      </c>
      <c r="C73" t="s">
        <v>192</v>
      </c>
      <c r="D73" s="49" t="s">
        <v>193</v>
      </c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50">
        <f t="shared" si="4"/>
        <v>0</v>
      </c>
      <c r="V73" s="28">
        <f>F73+'Ny lokal'!F73</f>
        <v>0</v>
      </c>
      <c r="W73" s="28">
        <f>G73+'Ny lokal'!G73</f>
        <v>0</v>
      </c>
      <c r="X73" s="28">
        <f>H73+'Ny lokal'!H73</f>
        <v>0</v>
      </c>
      <c r="Y73" s="28">
        <f>I73+'Ny lokal'!I73</f>
        <v>0</v>
      </c>
      <c r="Z73" s="28">
        <f>J73+'Ny lokal'!J73</f>
        <v>0</v>
      </c>
      <c r="AA73" s="28">
        <f>K73+'Ny lokal'!K73</f>
        <v>0</v>
      </c>
      <c r="AB73" s="28">
        <f>L73+'Ny lokal'!L73</f>
        <v>0</v>
      </c>
      <c r="AC73" s="28">
        <f>M73+'Ny lokal'!M73</f>
        <v>0</v>
      </c>
      <c r="AD73" s="28">
        <f>N73+'Ny lokal'!N73</f>
        <v>0</v>
      </c>
      <c r="AE73" s="28">
        <f>O73+'Ny lokal'!O73</f>
        <v>0</v>
      </c>
      <c r="AF73" s="28">
        <f>P73+'Ny lokal'!P73</f>
        <v>0</v>
      </c>
      <c r="AG73" s="28">
        <f>Q73+'Ny lokal'!Q73</f>
        <v>0</v>
      </c>
    </row>
    <row r="74" spans="2:33" x14ac:dyDescent="0.2">
      <c r="B74" s="49">
        <v>7019</v>
      </c>
      <c r="C74" t="s">
        <v>194</v>
      </c>
      <c r="D74" s="49" t="s">
        <v>195</v>
      </c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50">
        <f t="shared" si="4"/>
        <v>0</v>
      </c>
      <c r="V74" s="28">
        <f>F74+'Ny lokal'!F74</f>
        <v>0</v>
      </c>
      <c r="W74" s="28">
        <f>G74+'Ny lokal'!G74</f>
        <v>0</v>
      </c>
      <c r="X74" s="28">
        <f>H74+'Ny lokal'!H74</f>
        <v>0</v>
      </c>
      <c r="Y74" s="28">
        <f>I74+'Ny lokal'!I74</f>
        <v>0</v>
      </c>
      <c r="Z74" s="28">
        <f>J74+'Ny lokal'!J74</f>
        <v>0</v>
      </c>
      <c r="AA74" s="28">
        <f>K74+'Ny lokal'!K74</f>
        <v>0</v>
      </c>
      <c r="AB74" s="28">
        <f>L74+'Ny lokal'!L74</f>
        <v>0</v>
      </c>
      <c r="AC74" s="28">
        <f>M74+'Ny lokal'!M74</f>
        <v>0</v>
      </c>
      <c r="AD74" s="28">
        <f>N74+'Ny lokal'!N74</f>
        <v>0</v>
      </c>
      <c r="AE74" s="28">
        <f>O74+'Ny lokal'!O74</f>
        <v>0</v>
      </c>
      <c r="AF74" s="28">
        <f>P74+'Ny lokal'!P74</f>
        <v>0</v>
      </c>
      <c r="AG74" s="28">
        <f>Q74+'Ny lokal'!Q74</f>
        <v>0</v>
      </c>
    </row>
    <row r="75" spans="2:33" x14ac:dyDescent="0.2">
      <c r="B75" s="49">
        <v>7090</v>
      </c>
      <c r="C75" t="s">
        <v>171</v>
      </c>
      <c r="D75" s="49" t="s">
        <v>196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50">
        <f t="shared" si="4"/>
        <v>0</v>
      </c>
      <c r="V75" s="28">
        <f>F75+'Ny lokal'!F75</f>
        <v>0</v>
      </c>
      <c r="W75" s="28">
        <f>G75+'Ny lokal'!G75</f>
        <v>0</v>
      </c>
      <c r="X75" s="28">
        <f>H75+'Ny lokal'!H75</f>
        <v>0</v>
      </c>
      <c r="Y75" s="28">
        <f>I75+'Ny lokal'!I75</f>
        <v>0</v>
      </c>
      <c r="Z75" s="28">
        <f>J75+'Ny lokal'!J75</f>
        <v>0</v>
      </c>
      <c r="AA75" s="28">
        <f>K75+'Ny lokal'!K75</f>
        <v>0</v>
      </c>
      <c r="AB75" s="28">
        <f>L75+'Ny lokal'!L75</f>
        <v>0</v>
      </c>
      <c r="AC75" s="28">
        <f>M75+'Ny lokal'!M75</f>
        <v>0</v>
      </c>
      <c r="AD75" s="28">
        <f>N75+'Ny lokal'!N75</f>
        <v>0</v>
      </c>
      <c r="AE75" s="28">
        <f>O75+'Ny lokal'!O75</f>
        <v>0</v>
      </c>
      <c r="AF75" s="28">
        <f>P75+'Ny lokal'!P75</f>
        <v>0</v>
      </c>
      <c r="AG75" s="28">
        <f>Q75+'Ny lokal'!Q75</f>
        <v>0</v>
      </c>
    </row>
    <row r="76" spans="2:33" x14ac:dyDescent="0.2">
      <c r="B76" s="49">
        <v>7210</v>
      </c>
      <c r="C76" t="s">
        <v>197</v>
      </c>
      <c r="D76" s="49" t="s">
        <v>198</v>
      </c>
      <c r="F76" s="48">
        <f>60</f>
        <v>60</v>
      </c>
      <c r="G76" s="48">
        <f>60</f>
        <v>60</v>
      </c>
      <c r="H76" s="48">
        <f>60</f>
        <v>60</v>
      </c>
      <c r="I76" s="48">
        <f t="shared" ref="I76:Q76" si="5">(60)*1.03</f>
        <v>61.800000000000004</v>
      </c>
      <c r="J76" s="48">
        <f t="shared" si="5"/>
        <v>61.800000000000004</v>
      </c>
      <c r="K76" s="48">
        <f t="shared" si="5"/>
        <v>61.800000000000004</v>
      </c>
      <c r="L76" s="48">
        <f t="shared" si="5"/>
        <v>61.800000000000004</v>
      </c>
      <c r="M76" s="48">
        <f t="shared" si="5"/>
        <v>61.800000000000004</v>
      </c>
      <c r="N76" s="48">
        <f t="shared" si="5"/>
        <v>61.800000000000004</v>
      </c>
      <c r="O76" s="48">
        <f t="shared" si="5"/>
        <v>61.800000000000004</v>
      </c>
      <c r="P76" s="48">
        <f t="shared" si="5"/>
        <v>61.800000000000004</v>
      </c>
      <c r="Q76" s="48">
        <f t="shared" si="5"/>
        <v>61.800000000000004</v>
      </c>
      <c r="R76" s="50">
        <f t="shared" si="4"/>
        <v>736.19999999999993</v>
      </c>
      <c r="V76" s="28">
        <f>F76+'Ny lokal'!F76</f>
        <v>60</v>
      </c>
      <c r="W76" s="28">
        <f>G76+'Ny lokal'!G76</f>
        <v>60</v>
      </c>
      <c r="X76" s="28">
        <f>H76+'Ny lokal'!H76</f>
        <v>60</v>
      </c>
      <c r="Y76" s="28">
        <f>I76+'Ny lokal'!I76</f>
        <v>61.800000000000004</v>
      </c>
      <c r="Z76" s="28">
        <f>J76+'Ny lokal'!J76</f>
        <v>61.800000000000004</v>
      </c>
      <c r="AA76" s="28">
        <f>K76+'Ny lokal'!K76</f>
        <v>61.800000000000004</v>
      </c>
      <c r="AB76" s="28">
        <f>L76+'Ny lokal'!L76</f>
        <v>61.800000000000004</v>
      </c>
      <c r="AC76" s="28">
        <f>M76+'Ny lokal'!M76</f>
        <v>61.800000000000004</v>
      </c>
      <c r="AD76" s="28">
        <f>N76+'Ny lokal'!N76</f>
        <v>61.800000000000004</v>
      </c>
      <c r="AE76" s="28">
        <f>O76+'Ny lokal'!O76</f>
        <v>61.800000000000004</v>
      </c>
      <c r="AF76" s="28">
        <f>P76+'Ny lokal'!P76</f>
        <v>61.800000000000004</v>
      </c>
      <c r="AG76" s="28">
        <f>Q76+'Ny lokal'!Q76</f>
        <v>61.800000000000004</v>
      </c>
    </row>
    <row r="77" spans="2:33" x14ac:dyDescent="0.2">
      <c r="B77" s="49">
        <v>7220</v>
      </c>
      <c r="C77" t="s">
        <v>159</v>
      </c>
      <c r="D77" s="49" t="s">
        <v>199</v>
      </c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50">
        <f t="shared" si="4"/>
        <v>0</v>
      </c>
      <c r="V77" s="28">
        <f>F77+'Ny lokal'!F77</f>
        <v>0</v>
      </c>
      <c r="W77" s="28">
        <f>G77+'Ny lokal'!G77</f>
        <v>0</v>
      </c>
      <c r="X77" s="28">
        <f>H77+'Ny lokal'!H77</f>
        <v>0</v>
      </c>
      <c r="Y77" s="28">
        <f>I77+'Ny lokal'!I77</f>
        <v>0</v>
      </c>
      <c r="Z77" s="28">
        <f>J77+'Ny lokal'!J77</f>
        <v>0</v>
      </c>
      <c r="AA77" s="28">
        <f>K77+'Ny lokal'!K77</f>
        <v>0</v>
      </c>
      <c r="AB77" s="28">
        <f>L77+'Ny lokal'!L77</f>
        <v>0</v>
      </c>
      <c r="AC77" s="28">
        <f>M77+'Ny lokal'!M77</f>
        <v>0</v>
      </c>
      <c r="AD77" s="28">
        <f>N77+'Ny lokal'!N77</f>
        <v>0</v>
      </c>
      <c r="AE77" s="28">
        <f>O77+'Ny lokal'!O77</f>
        <v>0</v>
      </c>
      <c r="AF77" s="28">
        <f>P77+'Ny lokal'!P77</f>
        <v>0</v>
      </c>
      <c r="AG77" s="28">
        <f>Q77+'Ny lokal'!Q77</f>
        <v>0</v>
      </c>
    </row>
    <row r="78" spans="2:33" x14ac:dyDescent="0.2">
      <c r="B78" s="49">
        <v>7280</v>
      </c>
      <c r="C78" t="s">
        <v>200</v>
      </c>
      <c r="D78" s="49" t="s">
        <v>201</v>
      </c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50">
        <f t="shared" si="4"/>
        <v>0</v>
      </c>
      <c r="V78" s="28">
        <f>F78+'Ny lokal'!F78</f>
        <v>0</v>
      </c>
      <c r="W78" s="28">
        <f>G78+'Ny lokal'!G78</f>
        <v>0</v>
      </c>
      <c r="X78" s="28">
        <f>H78+'Ny lokal'!H78</f>
        <v>0</v>
      </c>
      <c r="Y78" s="28">
        <f>I78+'Ny lokal'!I78</f>
        <v>0</v>
      </c>
      <c r="Z78" s="28">
        <f>J78+'Ny lokal'!J78</f>
        <v>0</v>
      </c>
      <c r="AA78" s="28">
        <f>K78+'Ny lokal'!K78</f>
        <v>0</v>
      </c>
      <c r="AB78" s="28">
        <f>L78+'Ny lokal'!L78</f>
        <v>0</v>
      </c>
      <c r="AC78" s="28">
        <f>M78+'Ny lokal'!M78</f>
        <v>0</v>
      </c>
      <c r="AD78" s="28">
        <f>N78+'Ny lokal'!N78</f>
        <v>0</v>
      </c>
      <c r="AE78" s="28">
        <f>O78+'Ny lokal'!O78</f>
        <v>0</v>
      </c>
      <c r="AF78" s="28">
        <f>P78+'Ny lokal'!P78</f>
        <v>0</v>
      </c>
      <c r="AG78" s="28">
        <f>Q78+'Ny lokal'!Q78</f>
        <v>0</v>
      </c>
    </row>
    <row r="79" spans="2:33" x14ac:dyDescent="0.2">
      <c r="B79" s="49">
        <v>7282</v>
      </c>
      <c r="C79" t="s">
        <v>202</v>
      </c>
      <c r="D79" s="49" t="s">
        <v>203</v>
      </c>
      <c r="F79" s="48">
        <f>F76*0.008</f>
        <v>0.48</v>
      </c>
      <c r="G79" s="48">
        <f t="shared" ref="G79:Q79" si="6">G76*0.008</f>
        <v>0.48</v>
      </c>
      <c r="H79" s="48">
        <f t="shared" si="6"/>
        <v>0.48</v>
      </c>
      <c r="I79" s="48">
        <f t="shared" si="6"/>
        <v>0.49440000000000006</v>
      </c>
      <c r="J79" s="48">
        <f t="shared" si="6"/>
        <v>0.49440000000000006</v>
      </c>
      <c r="K79" s="48">
        <f t="shared" si="6"/>
        <v>0.49440000000000006</v>
      </c>
      <c r="L79" s="48">
        <f t="shared" si="6"/>
        <v>0.49440000000000006</v>
      </c>
      <c r="M79" s="48">
        <f t="shared" si="6"/>
        <v>0.49440000000000006</v>
      </c>
      <c r="N79" s="48">
        <f t="shared" si="6"/>
        <v>0.49440000000000006</v>
      </c>
      <c r="O79" s="48">
        <f t="shared" si="6"/>
        <v>0.49440000000000006</v>
      </c>
      <c r="P79" s="48">
        <f t="shared" si="6"/>
        <v>0.49440000000000006</v>
      </c>
      <c r="Q79" s="48">
        <f t="shared" si="6"/>
        <v>0.49440000000000006</v>
      </c>
      <c r="R79" s="50">
        <f t="shared" si="4"/>
        <v>5.8895999999999997</v>
      </c>
      <c r="V79" s="28">
        <f>F79+'Ny lokal'!F79</f>
        <v>0.48</v>
      </c>
      <c r="W79" s="28">
        <f>G79+'Ny lokal'!G79</f>
        <v>0.48</v>
      </c>
      <c r="X79" s="28">
        <f>H79+'Ny lokal'!H79</f>
        <v>0.48</v>
      </c>
      <c r="Y79" s="28">
        <f>I79+'Ny lokal'!I79</f>
        <v>0.49440000000000006</v>
      </c>
      <c r="Z79" s="28">
        <f>J79+'Ny lokal'!J79</f>
        <v>0.49440000000000006</v>
      </c>
      <c r="AA79" s="28">
        <f>K79+'Ny lokal'!K79</f>
        <v>0.49440000000000006</v>
      </c>
      <c r="AB79" s="28">
        <f>L79+'Ny lokal'!L79</f>
        <v>0.49440000000000006</v>
      </c>
      <c r="AC79" s="28">
        <f>M79+'Ny lokal'!M79</f>
        <v>0.49440000000000006</v>
      </c>
      <c r="AD79" s="28">
        <f>N79+'Ny lokal'!N79</f>
        <v>0.49440000000000006</v>
      </c>
      <c r="AE79" s="28">
        <f>O79+'Ny lokal'!O79</f>
        <v>0.49440000000000006</v>
      </c>
      <c r="AF79" s="28">
        <f>P79+'Ny lokal'!P79</f>
        <v>0.49440000000000006</v>
      </c>
      <c r="AG79" s="28">
        <f>Q79+'Ny lokal'!Q79</f>
        <v>0.49440000000000006</v>
      </c>
    </row>
    <row r="80" spans="2:33" x14ac:dyDescent="0.2">
      <c r="B80" s="49">
        <v>7290</v>
      </c>
      <c r="C80" t="s">
        <v>171</v>
      </c>
      <c r="D80" s="49" t="s">
        <v>204</v>
      </c>
      <c r="F80" s="48">
        <f>F76*0.12</f>
        <v>7.1999999999999993</v>
      </c>
      <c r="G80" s="48">
        <f t="shared" ref="G80:K80" si="7">G76*0.12</f>
        <v>7.1999999999999993</v>
      </c>
      <c r="H80" s="48">
        <f t="shared" si="7"/>
        <v>7.1999999999999993</v>
      </c>
      <c r="I80" s="48">
        <f t="shared" si="7"/>
        <v>7.4160000000000004</v>
      </c>
      <c r="J80" s="48">
        <f t="shared" si="7"/>
        <v>7.4160000000000004</v>
      </c>
      <c r="K80" s="48">
        <f t="shared" si="7"/>
        <v>7.4160000000000004</v>
      </c>
      <c r="L80" s="48">
        <f>-L76</f>
        <v>-61.800000000000004</v>
      </c>
      <c r="M80" s="48">
        <f t="shared" ref="M80:Q80" si="8">M76*0.12</f>
        <v>7.4160000000000004</v>
      </c>
      <c r="N80" s="48">
        <f t="shared" si="8"/>
        <v>7.4160000000000004</v>
      </c>
      <c r="O80" s="48">
        <f t="shared" si="8"/>
        <v>7.4160000000000004</v>
      </c>
      <c r="P80" s="48">
        <f t="shared" si="8"/>
        <v>7.4160000000000004</v>
      </c>
      <c r="Q80" s="48">
        <f t="shared" si="8"/>
        <v>7.4160000000000004</v>
      </c>
      <c r="R80" s="50">
        <f t="shared" si="4"/>
        <v>19.127999999999997</v>
      </c>
      <c r="V80" s="28">
        <f>F80+'Ny lokal'!F80</f>
        <v>7.1999999999999993</v>
      </c>
      <c r="W80" s="28">
        <f>G80+'Ny lokal'!G80</f>
        <v>7.1999999999999993</v>
      </c>
      <c r="X80" s="28">
        <f>H80+'Ny lokal'!H80</f>
        <v>7.1999999999999993</v>
      </c>
      <c r="Y80" s="28">
        <f>I80+'Ny lokal'!I80</f>
        <v>7.4160000000000004</v>
      </c>
      <c r="Z80" s="28">
        <f>J80+'Ny lokal'!J80</f>
        <v>7.4160000000000004</v>
      </c>
      <c r="AA80" s="28">
        <f>K80+'Ny lokal'!K80</f>
        <v>7.4160000000000004</v>
      </c>
      <c r="AB80" s="28">
        <f>L80+'Ny lokal'!L80</f>
        <v>-61.800000000000004</v>
      </c>
      <c r="AC80" s="28">
        <f>M80+'Ny lokal'!M80</f>
        <v>7.4160000000000004</v>
      </c>
      <c r="AD80" s="28">
        <f>N80+'Ny lokal'!N80</f>
        <v>7.4160000000000004</v>
      </c>
      <c r="AE80" s="28">
        <f>O80+'Ny lokal'!O80</f>
        <v>7.4160000000000004</v>
      </c>
      <c r="AF80" s="28">
        <f>P80+'Ny lokal'!P80</f>
        <v>7.4160000000000004</v>
      </c>
      <c r="AG80" s="28">
        <f>Q80+'Ny lokal'!Q80</f>
        <v>7.4160000000000004</v>
      </c>
    </row>
    <row r="81" spans="2:33" x14ac:dyDescent="0.2">
      <c r="B81" s="49">
        <v>7300</v>
      </c>
      <c r="C81" t="s">
        <v>206</v>
      </c>
      <c r="D81" s="49" t="s">
        <v>207</v>
      </c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50">
        <f t="shared" si="4"/>
        <v>0</v>
      </c>
      <c r="V81" s="28">
        <f>F81+'Ny lokal'!F81</f>
        <v>0</v>
      </c>
      <c r="W81" s="28">
        <f>G81+'Ny lokal'!G81</f>
        <v>0</v>
      </c>
      <c r="X81" s="28">
        <f>H81+'Ny lokal'!H81</f>
        <v>0</v>
      </c>
      <c r="Y81" s="28">
        <f>I81+'Ny lokal'!I81</f>
        <v>0</v>
      </c>
      <c r="Z81" s="28">
        <f>J81+'Ny lokal'!J81</f>
        <v>0</v>
      </c>
      <c r="AA81" s="28">
        <f>K81+'Ny lokal'!K81</f>
        <v>0</v>
      </c>
      <c r="AB81" s="28">
        <f>L81+'Ny lokal'!L81</f>
        <v>0</v>
      </c>
      <c r="AC81" s="28">
        <f>M81+'Ny lokal'!M81</f>
        <v>0</v>
      </c>
      <c r="AD81" s="28">
        <f>N81+'Ny lokal'!N81</f>
        <v>0</v>
      </c>
      <c r="AE81" s="28">
        <f>O81+'Ny lokal'!O81</f>
        <v>0</v>
      </c>
      <c r="AF81" s="28">
        <f>P81+'Ny lokal'!P81</f>
        <v>0</v>
      </c>
      <c r="AG81" s="28">
        <f>Q81+'Ny lokal'!Q81</f>
        <v>0</v>
      </c>
    </row>
    <row r="82" spans="2:33" x14ac:dyDescent="0.2">
      <c r="B82" s="49">
        <v>7321</v>
      </c>
      <c r="C82" t="s">
        <v>178</v>
      </c>
      <c r="D82" s="49" t="s">
        <v>208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50">
        <f t="shared" si="4"/>
        <v>0</v>
      </c>
      <c r="V82" s="28">
        <f>F82+'Ny lokal'!F82</f>
        <v>0</v>
      </c>
      <c r="W82" s="28">
        <f>G82+'Ny lokal'!G82</f>
        <v>0</v>
      </c>
      <c r="X82" s="28">
        <f>H82+'Ny lokal'!H82</f>
        <v>0</v>
      </c>
      <c r="Y82" s="28">
        <f>I82+'Ny lokal'!I82</f>
        <v>0</v>
      </c>
      <c r="Z82" s="28">
        <f>J82+'Ny lokal'!J82</f>
        <v>0</v>
      </c>
      <c r="AA82" s="28">
        <f>K82+'Ny lokal'!K82</f>
        <v>0</v>
      </c>
      <c r="AB82" s="28">
        <f>L82+'Ny lokal'!L82</f>
        <v>0</v>
      </c>
      <c r="AC82" s="28">
        <f>M82+'Ny lokal'!M82</f>
        <v>0</v>
      </c>
      <c r="AD82" s="28">
        <f>N82+'Ny lokal'!N82</f>
        <v>0</v>
      </c>
      <c r="AE82" s="28">
        <f>O82+'Ny lokal'!O82</f>
        <v>0</v>
      </c>
      <c r="AF82" s="28">
        <f>P82+'Ny lokal'!P82</f>
        <v>0</v>
      </c>
      <c r="AG82" s="28">
        <f>Q82+'Ny lokal'!Q82</f>
        <v>0</v>
      </c>
    </row>
    <row r="83" spans="2:33" x14ac:dyDescent="0.2">
      <c r="B83" s="49">
        <v>7323</v>
      </c>
      <c r="C83" t="s">
        <v>184</v>
      </c>
      <c r="D83" s="49" t="s">
        <v>209</v>
      </c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50">
        <f t="shared" si="4"/>
        <v>0</v>
      </c>
      <c r="V83" s="28">
        <f>F83+'Ny lokal'!F83</f>
        <v>0</v>
      </c>
      <c r="W83" s="28">
        <f>G83+'Ny lokal'!G83</f>
        <v>0</v>
      </c>
      <c r="X83" s="28">
        <f>H83+'Ny lokal'!H83</f>
        <v>0</v>
      </c>
      <c r="Y83" s="28">
        <f>I83+'Ny lokal'!I83</f>
        <v>0</v>
      </c>
      <c r="Z83" s="28">
        <f>J83+'Ny lokal'!J83</f>
        <v>0</v>
      </c>
      <c r="AA83" s="28">
        <f>K83+'Ny lokal'!K83</f>
        <v>0</v>
      </c>
      <c r="AB83" s="28">
        <f>L83+'Ny lokal'!L83</f>
        <v>0</v>
      </c>
      <c r="AC83" s="28">
        <f>M83+'Ny lokal'!M83</f>
        <v>0</v>
      </c>
      <c r="AD83" s="28">
        <f>N83+'Ny lokal'!N83</f>
        <v>0</v>
      </c>
      <c r="AE83" s="28">
        <f>O83+'Ny lokal'!O83</f>
        <v>0</v>
      </c>
      <c r="AF83" s="28">
        <f>P83+'Ny lokal'!P83</f>
        <v>0</v>
      </c>
      <c r="AG83" s="28">
        <f>Q83+'Ny lokal'!Q83</f>
        <v>0</v>
      </c>
    </row>
    <row r="84" spans="2:33" x14ac:dyDescent="0.2">
      <c r="B84" s="49">
        <v>7331</v>
      </c>
      <c r="C84" t="s">
        <v>210</v>
      </c>
      <c r="D84" s="49" t="s">
        <v>211</v>
      </c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50">
        <f t="shared" si="4"/>
        <v>0</v>
      </c>
      <c r="V84" s="28">
        <f>F84+'Ny lokal'!F84</f>
        <v>0</v>
      </c>
      <c r="W84" s="28">
        <f>G84+'Ny lokal'!G84</f>
        <v>0</v>
      </c>
      <c r="X84" s="28">
        <f>H84+'Ny lokal'!H84</f>
        <v>0</v>
      </c>
      <c r="Y84" s="28">
        <f>I84+'Ny lokal'!I84</f>
        <v>0</v>
      </c>
      <c r="Z84" s="28">
        <f>J84+'Ny lokal'!J84</f>
        <v>0</v>
      </c>
      <c r="AA84" s="28">
        <f>K84+'Ny lokal'!K84</f>
        <v>0</v>
      </c>
      <c r="AB84" s="28">
        <f>L84+'Ny lokal'!L84</f>
        <v>0</v>
      </c>
      <c r="AC84" s="28">
        <f>M84+'Ny lokal'!M84</f>
        <v>0</v>
      </c>
      <c r="AD84" s="28">
        <f>N84+'Ny lokal'!N84</f>
        <v>0</v>
      </c>
      <c r="AE84" s="28">
        <f>O84+'Ny lokal'!O84</f>
        <v>0</v>
      </c>
      <c r="AF84" s="28">
        <f>P84+'Ny lokal'!P84</f>
        <v>0</v>
      </c>
      <c r="AG84" s="28">
        <f>Q84+'Ny lokal'!Q84</f>
        <v>0</v>
      </c>
    </row>
    <row r="85" spans="2:33" x14ac:dyDescent="0.2">
      <c r="B85" s="49">
        <v>7332</v>
      </c>
      <c r="C85" t="s">
        <v>212</v>
      </c>
      <c r="D85" s="49" t="s">
        <v>213</v>
      </c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50">
        <f t="shared" si="4"/>
        <v>0</v>
      </c>
      <c r="V85" s="28">
        <f>F85+'Ny lokal'!F85</f>
        <v>0</v>
      </c>
      <c r="W85" s="28">
        <f>G85+'Ny lokal'!G85</f>
        <v>0</v>
      </c>
      <c r="X85" s="28">
        <f>H85+'Ny lokal'!H85</f>
        <v>0</v>
      </c>
      <c r="Y85" s="28">
        <f>I85+'Ny lokal'!I85</f>
        <v>0</v>
      </c>
      <c r="Z85" s="28">
        <f>J85+'Ny lokal'!J85</f>
        <v>0</v>
      </c>
      <c r="AA85" s="28">
        <f>K85+'Ny lokal'!K85</f>
        <v>0</v>
      </c>
      <c r="AB85" s="28">
        <f>L85+'Ny lokal'!L85</f>
        <v>0</v>
      </c>
      <c r="AC85" s="28">
        <f>M85+'Ny lokal'!M85</f>
        <v>0</v>
      </c>
      <c r="AD85" s="28">
        <f>N85+'Ny lokal'!N85</f>
        <v>0</v>
      </c>
      <c r="AE85" s="28">
        <f>O85+'Ny lokal'!O85</f>
        <v>0</v>
      </c>
      <c r="AF85" s="28">
        <f>P85+'Ny lokal'!P85</f>
        <v>0</v>
      </c>
      <c r="AG85" s="28">
        <f>Q85+'Ny lokal'!Q85</f>
        <v>0</v>
      </c>
    </row>
    <row r="86" spans="2:33" x14ac:dyDescent="0.2">
      <c r="B86" s="49">
        <v>7380</v>
      </c>
      <c r="C86" t="s">
        <v>214</v>
      </c>
      <c r="D86" s="49" t="s">
        <v>215</v>
      </c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50">
        <f t="shared" si="4"/>
        <v>0</v>
      </c>
      <c r="V86" s="28">
        <f>F86+'Ny lokal'!F86</f>
        <v>0</v>
      </c>
      <c r="W86" s="28">
        <f>G86+'Ny lokal'!G86</f>
        <v>0</v>
      </c>
      <c r="X86" s="28">
        <f>H86+'Ny lokal'!H86</f>
        <v>0</v>
      </c>
      <c r="Y86" s="28">
        <f>I86+'Ny lokal'!I86</f>
        <v>0</v>
      </c>
      <c r="Z86" s="28">
        <f>J86+'Ny lokal'!J86</f>
        <v>0</v>
      </c>
      <c r="AA86" s="28">
        <f>K86+'Ny lokal'!K86</f>
        <v>0</v>
      </c>
      <c r="AB86" s="28">
        <f>L86+'Ny lokal'!L86</f>
        <v>0</v>
      </c>
      <c r="AC86" s="28">
        <f>M86+'Ny lokal'!M86</f>
        <v>0</v>
      </c>
      <c r="AD86" s="28">
        <f>N86+'Ny lokal'!N86</f>
        <v>0</v>
      </c>
      <c r="AE86" s="28">
        <f>O86+'Ny lokal'!O86</f>
        <v>0</v>
      </c>
      <c r="AF86" s="28">
        <f>P86+'Ny lokal'!P86</f>
        <v>0</v>
      </c>
      <c r="AG86" s="28">
        <f>Q86+'Ny lokal'!Q86</f>
        <v>0</v>
      </c>
    </row>
    <row r="87" spans="2:33" x14ac:dyDescent="0.2">
      <c r="B87" s="49">
        <v>7381</v>
      </c>
      <c r="C87" t="s">
        <v>216</v>
      </c>
      <c r="D87" s="49" t="s">
        <v>217</v>
      </c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50">
        <f>SUM(F87:Q87)</f>
        <v>0</v>
      </c>
      <c r="V87" s="28">
        <f>F87+'Ny lokal'!F87</f>
        <v>0</v>
      </c>
      <c r="W87" s="28">
        <f>G87+'Ny lokal'!G87</f>
        <v>0</v>
      </c>
      <c r="X87" s="28">
        <f>H87+'Ny lokal'!H87</f>
        <v>0</v>
      </c>
      <c r="Y87" s="28">
        <f>I87+'Ny lokal'!I87</f>
        <v>0</v>
      </c>
      <c r="Z87" s="28">
        <f>J87+'Ny lokal'!J87</f>
        <v>0</v>
      </c>
      <c r="AA87" s="28">
        <f>K87+'Ny lokal'!K87</f>
        <v>0</v>
      </c>
      <c r="AB87" s="28">
        <f>L87+'Ny lokal'!L87</f>
        <v>0</v>
      </c>
      <c r="AC87" s="28">
        <f>M87+'Ny lokal'!M87</f>
        <v>0</v>
      </c>
      <c r="AD87" s="28">
        <f>N87+'Ny lokal'!N87</f>
        <v>0</v>
      </c>
      <c r="AE87" s="28">
        <f>O87+'Ny lokal'!O87</f>
        <v>0</v>
      </c>
      <c r="AF87" s="28">
        <f>P87+'Ny lokal'!P87</f>
        <v>0</v>
      </c>
      <c r="AG87" s="28">
        <f>Q87+'Ny lokal'!Q87</f>
        <v>0</v>
      </c>
    </row>
    <row r="88" spans="2:33" x14ac:dyDescent="0.2">
      <c r="B88" s="49">
        <v>7385</v>
      </c>
      <c r="C88" t="s">
        <v>218</v>
      </c>
      <c r="D88" s="49" t="s">
        <v>219</v>
      </c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50">
        <f t="shared" si="4"/>
        <v>0</v>
      </c>
      <c r="V88" s="28">
        <f>F88+'Ny lokal'!F88</f>
        <v>0</v>
      </c>
      <c r="W88" s="28">
        <f>G88+'Ny lokal'!G88</f>
        <v>0</v>
      </c>
      <c r="X88" s="28">
        <f>H88+'Ny lokal'!H88</f>
        <v>0</v>
      </c>
      <c r="Y88" s="28">
        <f>I88+'Ny lokal'!I88</f>
        <v>0</v>
      </c>
      <c r="Z88" s="28">
        <f>J88+'Ny lokal'!J88</f>
        <v>0</v>
      </c>
      <c r="AA88" s="28">
        <f>K88+'Ny lokal'!K88</f>
        <v>0</v>
      </c>
      <c r="AB88" s="28">
        <f>L88+'Ny lokal'!L88</f>
        <v>0</v>
      </c>
      <c r="AC88" s="28">
        <f>M88+'Ny lokal'!M88</f>
        <v>0</v>
      </c>
      <c r="AD88" s="28">
        <f>N88+'Ny lokal'!N88</f>
        <v>0</v>
      </c>
      <c r="AE88" s="28">
        <f>O88+'Ny lokal'!O88</f>
        <v>0</v>
      </c>
      <c r="AF88" s="28">
        <f>P88+'Ny lokal'!P88</f>
        <v>0</v>
      </c>
      <c r="AG88" s="28">
        <f>Q88+'Ny lokal'!Q88</f>
        <v>0</v>
      </c>
    </row>
    <row r="89" spans="2:33" x14ac:dyDescent="0.2">
      <c r="B89" s="49">
        <v>7399</v>
      </c>
      <c r="C89" t="s">
        <v>220</v>
      </c>
      <c r="D89" s="49" t="s">
        <v>221</v>
      </c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50">
        <f t="shared" ref="R89:R94" si="9">SUM(F89:Q89)</f>
        <v>0</v>
      </c>
      <c r="V89" s="28">
        <f>F89+'Ny lokal'!F89</f>
        <v>0</v>
      </c>
      <c r="W89" s="28">
        <f>G89+'Ny lokal'!G89</f>
        <v>0</v>
      </c>
      <c r="X89" s="28">
        <f>H89+'Ny lokal'!H89</f>
        <v>0</v>
      </c>
      <c r="Y89" s="28">
        <f>I89+'Ny lokal'!I89</f>
        <v>0</v>
      </c>
      <c r="Z89" s="28">
        <f>J89+'Ny lokal'!J89</f>
        <v>0</v>
      </c>
      <c r="AA89" s="28">
        <f>K89+'Ny lokal'!K89</f>
        <v>0</v>
      </c>
      <c r="AB89" s="28">
        <f>L89+'Ny lokal'!L89</f>
        <v>0</v>
      </c>
      <c r="AC89" s="28">
        <f>M89+'Ny lokal'!M89</f>
        <v>0</v>
      </c>
      <c r="AD89" s="28">
        <f>N89+'Ny lokal'!N89</f>
        <v>0</v>
      </c>
      <c r="AE89" s="28">
        <f>O89+'Ny lokal'!O89</f>
        <v>0</v>
      </c>
      <c r="AF89" s="28">
        <f>P89+'Ny lokal'!P89</f>
        <v>0</v>
      </c>
      <c r="AG89" s="28">
        <f>Q89+'Ny lokal'!Q89</f>
        <v>0</v>
      </c>
    </row>
    <row r="90" spans="2:33" x14ac:dyDescent="0.2">
      <c r="B90" s="49">
        <v>7410</v>
      </c>
      <c r="C90" t="s">
        <v>205</v>
      </c>
      <c r="D90" s="49" t="s">
        <v>223</v>
      </c>
      <c r="F90" s="48">
        <f>F76*0.06+4</f>
        <v>7.6</v>
      </c>
      <c r="G90" s="48">
        <f t="shared" ref="G90:Q90" si="10">G76*0.06+4</f>
        <v>7.6</v>
      </c>
      <c r="H90" s="48">
        <f t="shared" si="10"/>
        <v>7.6</v>
      </c>
      <c r="I90" s="48">
        <f t="shared" si="10"/>
        <v>7.7080000000000002</v>
      </c>
      <c r="J90" s="48">
        <f t="shared" si="10"/>
        <v>7.7080000000000002</v>
      </c>
      <c r="K90" s="48">
        <f t="shared" si="10"/>
        <v>7.7080000000000002</v>
      </c>
      <c r="L90" s="48">
        <f t="shared" si="10"/>
        <v>7.7080000000000002</v>
      </c>
      <c r="M90" s="48">
        <f t="shared" si="10"/>
        <v>7.7080000000000002</v>
      </c>
      <c r="N90" s="48">
        <f t="shared" si="10"/>
        <v>7.7080000000000002</v>
      </c>
      <c r="O90" s="48">
        <f t="shared" si="10"/>
        <v>7.7080000000000002</v>
      </c>
      <c r="P90" s="48">
        <f t="shared" si="10"/>
        <v>7.7080000000000002</v>
      </c>
      <c r="Q90" s="48">
        <f t="shared" si="10"/>
        <v>7.7080000000000002</v>
      </c>
      <c r="R90" s="50">
        <f t="shared" si="9"/>
        <v>92.171999999999983</v>
      </c>
      <c r="V90" s="28">
        <f>F90+'Ny lokal'!F90</f>
        <v>7.6</v>
      </c>
      <c r="W90" s="28">
        <f>G90+'Ny lokal'!G90</f>
        <v>7.6</v>
      </c>
      <c r="X90" s="28">
        <f>H90+'Ny lokal'!H90</f>
        <v>7.6</v>
      </c>
      <c r="Y90" s="28">
        <f>I90+'Ny lokal'!I90</f>
        <v>7.7080000000000002</v>
      </c>
      <c r="Z90" s="28">
        <f>J90+'Ny lokal'!J90</f>
        <v>7.7080000000000002</v>
      </c>
      <c r="AA90" s="28">
        <f>K90+'Ny lokal'!K90</f>
        <v>7.7080000000000002</v>
      </c>
      <c r="AB90" s="28">
        <f>L90+'Ny lokal'!L90</f>
        <v>7.7080000000000002</v>
      </c>
      <c r="AC90" s="28">
        <f>M90+'Ny lokal'!M90</f>
        <v>7.7080000000000002</v>
      </c>
      <c r="AD90" s="28">
        <f>N90+'Ny lokal'!N90</f>
        <v>7.7080000000000002</v>
      </c>
      <c r="AE90" s="28">
        <f>O90+'Ny lokal'!O90</f>
        <v>7.7080000000000002</v>
      </c>
      <c r="AF90" s="28">
        <f>P90+'Ny lokal'!P90</f>
        <v>7.7080000000000002</v>
      </c>
      <c r="AG90" s="28">
        <f>Q90+'Ny lokal'!Q90</f>
        <v>7.7080000000000002</v>
      </c>
    </row>
    <row r="91" spans="2:33" x14ac:dyDescent="0.2">
      <c r="B91" s="49">
        <v>7420</v>
      </c>
      <c r="C91" t="s">
        <v>224</v>
      </c>
      <c r="D91" s="49" t="s">
        <v>225</v>
      </c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50">
        <f t="shared" si="9"/>
        <v>0</v>
      </c>
      <c r="V91" s="28">
        <f>F91+'Ny lokal'!F91</f>
        <v>0</v>
      </c>
      <c r="W91" s="28">
        <f>G91+'Ny lokal'!G91</f>
        <v>0</v>
      </c>
      <c r="X91" s="28">
        <f>H91+'Ny lokal'!H91</f>
        <v>0</v>
      </c>
      <c r="Y91" s="28">
        <f>I91+'Ny lokal'!I91</f>
        <v>0</v>
      </c>
      <c r="Z91" s="28">
        <f>J91+'Ny lokal'!J91</f>
        <v>0</v>
      </c>
      <c r="AA91" s="28">
        <f>K91+'Ny lokal'!K91</f>
        <v>0</v>
      </c>
      <c r="AB91" s="28">
        <f>L91+'Ny lokal'!L91</f>
        <v>0</v>
      </c>
      <c r="AC91" s="28">
        <f>M91+'Ny lokal'!M91</f>
        <v>0</v>
      </c>
      <c r="AD91" s="28">
        <f>N91+'Ny lokal'!N91</f>
        <v>0</v>
      </c>
      <c r="AE91" s="28">
        <f>O91+'Ny lokal'!O91</f>
        <v>0</v>
      </c>
      <c r="AF91" s="28">
        <f>P91+'Ny lokal'!P91</f>
        <v>0</v>
      </c>
      <c r="AG91" s="28">
        <f>Q91+'Ny lokal'!Q91</f>
        <v>0</v>
      </c>
    </row>
    <row r="92" spans="2:33" x14ac:dyDescent="0.2">
      <c r="B92" s="49">
        <v>7460</v>
      </c>
      <c r="C92" t="s">
        <v>226</v>
      </c>
      <c r="D92" s="49" t="s">
        <v>227</v>
      </c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50">
        <f t="shared" si="9"/>
        <v>0</v>
      </c>
      <c r="V92" s="28">
        <f>F92+'Ny lokal'!F92</f>
        <v>0</v>
      </c>
      <c r="W92" s="28">
        <f>G92+'Ny lokal'!G92</f>
        <v>0</v>
      </c>
      <c r="X92" s="28">
        <f>H92+'Ny lokal'!H92</f>
        <v>0</v>
      </c>
      <c r="Y92" s="28">
        <f>I92+'Ny lokal'!I92</f>
        <v>0</v>
      </c>
      <c r="Z92" s="28">
        <f>J92+'Ny lokal'!J92</f>
        <v>0</v>
      </c>
      <c r="AA92" s="28">
        <f>K92+'Ny lokal'!K92</f>
        <v>0</v>
      </c>
      <c r="AB92" s="28">
        <f>L92+'Ny lokal'!L92</f>
        <v>0</v>
      </c>
      <c r="AC92" s="28">
        <f>M92+'Ny lokal'!M92</f>
        <v>0</v>
      </c>
      <c r="AD92" s="28">
        <f>N92+'Ny lokal'!N92</f>
        <v>0</v>
      </c>
      <c r="AE92" s="28">
        <f>O92+'Ny lokal'!O92</f>
        <v>0</v>
      </c>
      <c r="AF92" s="28">
        <f>P92+'Ny lokal'!P92</f>
        <v>0</v>
      </c>
      <c r="AG92" s="28">
        <f>Q92+'Ny lokal'!Q92</f>
        <v>0</v>
      </c>
    </row>
    <row r="93" spans="2:33" x14ac:dyDescent="0.2">
      <c r="B93" s="49">
        <v>7510</v>
      </c>
      <c r="C93" t="s">
        <v>229</v>
      </c>
      <c r="D93" s="49" t="s">
        <v>230</v>
      </c>
      <c r="F93" s="48">
        <f>0.3142*F76</f>
        <v>18.852</v>
      </c>
      <c r="G93" s="48">
        <f t="shared" ref="G93:Q93" si="11">0.3142*G76</f>
        <v>18.852</v>
      </c>
      <c r="H93" s="48">
        <f t="shared" si="11"/>
        <v>18.852</v>
      </c>
      <c r="I93" s="48">
        <f t="shared" si="11"/>
        <v>19.417560000000002</v>
      </c>
      <c r="J93" s="48">
        <f t="shared" si="11"/>
        <v>19.417560000000002</v>
      </c>
      <c r="K93" s="48">
        <f t="shared" si="11"/>
        <v>19.417560000000002</v>
      </c>
      <c r="L93" s="48">
        <f t="shared" si="11"/>
        <v>19.417560000000002</v>
      </c>
      <c r="M93" s="48">
        <f t="shared" si="11"/>
        <v>19.417560000000002</v>
      </c>
      <c r="N93" s="48">
        <f t="shared" si="11"/>
        <v>19.417560000000002</v>
      </c>
      <c r="O93" s="48">
        <f t="shared" si="11"/>
        <v>19.417560000000002</v>
      </c>
      <c r="P93" s="48">
        <f t="shared" si="11"/>
        <v>19.417560000000002</v>
      </c>
      <c r="Q93" s="48">
        <f t="shared" si="11"/>
        <v>19.417560000000002</v>
      </c>
      <c r="R93" s="50">
        <f t="shared" si="9"/>
        <v>231.31404000000006</v>
      </c>
      <c r="V93" s="28">
        <f>F93+'Ny lokal'!F93</f>
        <v>18.852</v>
      </c>
      <c r="W93" s="28">
        <f>G93+'Ny lokal'!G93</f>
        <v>18.852</v>
      </c>
      <c r="X93" s="28">
        <f>H93+'Ny lokal'!H93</f>
        <v>18.852</v>
      </c>
      <c r="Y93" s="28">
        <f>I93+'Ny lokal'!I93</f>
        <v>19.417560000000002</v>
      </c>
      <c r="Z93" s="28">
        <f>J93+'Ny lokal'!J93</f>
        <v>19.417560000000002</v>
      </c>
      <c r="AA93" s="28">
        <f>K93+'Ny lokal'!K93</f>
        <v>19.417560000000002</v>
      </c>
      <c r="AB93" s="28">
        <f>L93+'Ny lokal'!L93</f>
        <v>19.417560000000002</v>
      </c>
      <c r="AC93" s="28">
        <f>M93+'Ny lokal'!M93</f>
        <v>19.417560000000002</v>
      </c>
      <c r="AD93" s="28">
        <f>N93+'Ny lokal'!N93</f>
        <v>19.417560000000002</v>
      </c>
      <c r="AE93" s="28">
        <f>O93+'Ny lokal'!O93</f>
        <v>19.417560000000002</v>
      </c>
      <c r="AF93" s="28">
        <f>P93+'Ny lokal'!P93</f>
        <v>19.417560000000002</v>
      </c>
      <c r="AG93" s="28">
        <f>Q93+'Ny lokal'!Q93</f>
        <v>19.417560000000002</v>
      </c>
    </row>
    <row r="94" spans="2:33" x14ac:dyDescent="0.2">
      <c r="B94" s="49">
        <v>7519</v>
      </c>
      <c r="C94" t="s">
        <v>231</v>
      </c>
      <c r="D94" s="49" t="s">
        <v>232</v>
      </c>
      <c r="F94" s="48">
        <f>0.3142*(F80+F79)</f>
        <v>2.4130559999999996</v>
      </c>
      <c r="G94" s="48">
        <f t="shared" ref="G94:Q94" si="12">0.3142*(G80+G79)</f>
        <v>2.4130559999999996</v>
      </c>
      <c r="H94" s="48">
        <f t="shared" si="12"/>
        <v>2.4130559999999996</v>
      </c>
      <c r="I94" s="48">
        <f t="shared" si="12"/>
        <v>2.48544768</v>
      </c>
      <c r="J94" s="48">
        <f t="shared" si="12"/>
        <v>2.48544768</v>
      </c>
      <c r="K94" s="48">
        <f t="shared" si="12"/>
        <v>2.48544768</v>
      </c>
      <c r="L94" s="48">
        <f t="shared" si="12"/>
        <v>-19.262219520000002</v>
      </c>
      <c r="M94" s="48">
        <f t="shared" si="12"/>
        <v>2.48544768</v>
      </c>
      <c r="N94" s="48">
        <f t="shared" si="12"/>
        <v>2.48544768</v>
      </c>
      <c r="O94" s="48">
        <f t="shared" si="12"/>
        <v>2.48544768</v>
      </c>
      <c r="P94" s="48">
        <f t="shared" si="12"/>
        <v>2.48544768</v>
      </c>
      <c r="Q94" s="48">
        <f t="shared" si="12"/>
        <v>2.48544768</v>
      </c>
      <c r="R94" s="50">
        <f t="shared" si="9"/>
        <v>7.8605299199999976</v>
      </c>
      <c r="V94" s="28">
        <f>F94+'Ny lokal'!F94</f>
        <v>2.4130559999999996</v>
      </c>
      <c r="W94" s="28">
        <f>G94+'Ny lokal'!G94</f>
        <v>2.4130559999999996</v>
      </c>
      <c r="X94" s="28">
        <f>H94+'Ny lokal'!H94</f>
        <v>2.4130559999999996</v>
      </c>
      <c r="Y94" s="28">
        <f>I94+'Ny lokal'!I94</f>
        <v>2.48544768</v>
      </c>
      <c r="Z94" s="28">
        <f>J94+'Ny lokal'!J94</f>
        <v>2.48544768</v>
      </c>
      <c r="AA94" s="28">
        <f>K94+'Ny lokal'!K94</f>
        <v>2.48544768</v>
      </c>
      <c r="AB94" s="28">
        <f>L94+'Ny lokal'!L94</f>
        <v>-19.262219520000002</v>
      </c>
      <c r="AC94" s="28">
        <f>M94+'Ny lokal'!M94</f>
        <v>2.48544768</v>
      </c>
      <c r="AD94" s="28">
        <f>N94+'Ny lokal'!N94</f>
        <v>2.48544768</v>
      </c>
      <c r="AE94" s="28">
        <f>O94+'Ny lokal'!O94</f>
        <v>2.48544768</v>
      </c>
      <c r="AF94" s="28">
        <f>P94+'Ny lokal'!P94</f>
        <v>2.48544768</v>
      </c>
      <c r="AG94" s="28">
        <f>Q94+'Ny lokal'!Q94</f>
        <v>2.48544768</v>
      </c>
    </row>
    <row r="95" spans="2:33" x14ac:dyDescent="0.2">
      <c r="B95" s="49">
        <v>7530</v>
      </c>
      <c r="C95" t="s">
        <v>222</v>
      </c>
      <c r="D95" s="49" t="s">
        <v>233</v>
      </c>
      <c r="F95" s="48">
        <f>F90*0.2426</f>
        <v>1.8437600000000001</v>
      </c>
      <c r="G95" s="48">
        <f t="shared" ref="G95:Q95" si="13">G90*0.2426</f>
        <v>1.8437600000000001</v>
      </c>
      <c r="H95" s="48">
        <f t="shared" si="13"/>
        <v>1.8437600000000001</v>
      </c>
      <c r="I95" s="48">
        <f t="shared" si="13"/>
        <v>1.8699608000000001</v>
      </c>
      <c r="J95" s="48">
        <f t="shared" si="13"/>
        <v>1.8699608000000001</v>
      </c>
      <c r="K95" s="48">
        <f t="shared" si="13"/>
        <v>1.8699608000000001</v>
      </c>
      <c r="L95" s="48">
        <f t="shared" si="13"/>
        <v>1.8699608000000001</v>
      </c>
      <c r="M95" s="48">
        <f t="shared" si="13"/>
        <v>1.8699608000000001</v>
      </c>
      <c r="N95" s="48">
        <f t="shared" si="13"/>
        <v>1.8699608000000001</v>
      </c>
      <c r="O95" s="48">
        <f t="shared" si="13"/>
        <v>1.8699608000000001</v>
      </c>
      <c r="P95" s="48">
        <f t="shared" si="13"/>
        <v>1.8699608000000001</v>
      </c>
      <c r="Q95" s="48">
        <f t="shared" si="13"/>
        <v>1.8699608000000001</v>
      </c>
      <c r="R95" s="50">
        <f t="shared" si="4"/>
        <v>22.360927200000003</v>
      </c>
      <c r="V95" s="28">
        <f>F95+'Ny lokal'!F95</f>
        <v>1.8437600000000001</v>
      </c>
      <c r="W95" s="28">
        <f>G95+'Ny lokal'!G95</f>
        <v>1.8437600000000001</v>
      </c>
      <c r="X95" s="28">
        <f>H95+'Ny lokal'!H95</f>
        <v>1.8437600000000001</v>
      </c>
      <c r="Y95" s="28">
        <f>I95+'Ny lokal'!I95</f>
        <v>1.8699608000000001</v>
      </c>
      <c r="Z95" s="28">
        <f>J95+'Ny lokal'!J95</f>
        <v>1.8699608000000001</v>
      </c>
      <c r="AA95" s="28">
        <f>K95+'Ny lokal'!K95</f>
        <v>1.8699608000000001</v>
      </c>
      <c r="AB95" s="28">
        <f>L95+'Ny lokal'!L95</f>
        <v>1.8699608000000001</v>
      </c>
      <c r="AC95" s="28">
        <f>M95+'Ny lokal'!M95</f>
        <v>1.8699608000000001</v>
      </c>
      <c r="AD95" s="28">
        <f>N95+'Ny lokal'!N95</f>
        <v>1.8699608000000001</v>
      </c>
      <c r="AE95" s="28">
        <f>O95+'Ny lokal'!O95</f>
        <v>1.8699608000000001</v>
      </c>
      <c r="AF95" s="28">
        <f>P95+'Ny lokal'!P95</f>
        <v>1.8699608000000001</v>
      </c>
      <c r="AG95" s="28">
        <f>Q95+'Ny lokal'!Q95</f>
        <v>1.8699608000000001</v>
      </c>
    </row>
    <row r="96" spans="2:33" x14ac:dyDescent="0.2">
      <c r="B96" s="49">
        <v>7570</v>
      </c>
      <c r="C96" t="s">
        <v>228</v>
      </c>
      <c r="D96" s="49" t="s">
        <v>234</v>
      </c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50">
        <f t="shared" si="4"/>
        <v>0</v>
      </c>
      <c r="V96" s="28">
        <f>F96+'Ny lokal'!F96</f>
        <v>0</v>
      </c>
      <c r="W96" s="28">
        <f>G96+'Ny lokal'!G96</f>
        <v>0</v>
      </c>
      <c r="X96" s="28">
        <f>H96+'Ny lokal'!H96</f>
        <v>0</v>
      </c>
      <c r="Y96" s="28">
        <f>I96+'Ny lokal'!I96</f>
        <v>0</v>
      </c>
      <c r="Z96" s="28">
        <f>J96+'Ny lokal'!J96</f>
        <v>0</v>
      </c>
      <c r="AA96" s="28">
        <f>K96+'Ny lokal'!K96</f>
        <v>0</v>
      </c>
      <c r="AB96" s="28">
        <f>L96+'Ny lokal'!L96</f>
        <v>0</v>
      </c>
      <c r="AC96" s="28">
        <f>M96+'Ny lokal'!M96</f>
        <v>0</v>
      </c>
      <c r="AD96" s="28">
        <f>N96+'Ny lokal'!N96</f>
        <v>0</v>
      </c>
      <c r="AE96" s="28">
        <f>O96+'Ny lokal'!O96</f>
        <v>0</v>
      </c>
      <c r="AF96" s="28">
        <f>P96+'Ny lokal'!P96</f>
        <v>0</v>
      </c>
      <c r="AG96" s="28">
        <f>Q96+'Ny lokal'!Q96</f>
        <v>0</v>
      </c>
    </row>
    <row r="97" spans="2:33" x14ac:dyDescent="0.2">
      <c r="B97" s="49">
        <v>7610</v>
      </c>
      <c r="C97" t="s">
        <v>235</v>
      </c>
      <c r="D97" s="49" t="s">
        <v>236</v>
      </c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50">
        <f t="shared" si="4"/>
        <v>0</v>
      </c>
      <c r="V97" s="28">
        <f>F97+'Ny lokal'!F97</f>
        <v>0</v>
      </c>
      <c r="W97" s="28">
        <f>G97+'Ny lokal'!G97</f>
        <v>0</v>
      </c>
      <c r="X97" s="28">
        <f>H97+'Ny lokal'!H97</f>
        <v>0</v>
      </c>
      <c r="Y97" s="28">
        <f>I97+'Ny lokal'!I97</f>
        <v>0</v>
      </c>
      <c r="Z97" s="28">
        <f>J97+'Ny lokal'!J97</f>
        <v>0</v>
      </c>
      <c r="AA97" s="28">
        <f>K97+'Ny lokal'!K97</f>
        <v>0</v>
      </c>
      <c r="AB97" s="28">
        <f>L97+'Ny lokal'!L97</f>
        <v>0</v>
      </c>
      <c r="AC97" s="28">
        <f>M97+'Ny lokal'!M97</f>
        <v>0</v>
      </c>
      <c r="AD97" s="28">
        <f>N97+'Ny lokal'!N97</f>
        <v>0</v>
      </c>
      <c r="AE97" s="28">
        <f>O97+'Ny lokal'!O97</f>
        <v>0</v>
      </c>
      <c r="AF97" s="28">
        <f>P97+'Ny lokal'!P97</f>
        <v>0</v>
      </c>
      <c r="AG97" s="28">
        <f>Q97+'Ny lokal'!Q97</f>
        <v>0</v>
      </c>
    </row>
    <row r="98" spans="2:33" x14ac:dyDescent="0.2">
      <c r="B98" s="49">
        <v>7620</v>
      </c>
      <c r="C98" t="s">
        <v>237</v>
      </c>
      <c r="D98" s="49" t="s">
        <v>238</v>
      </c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50">
        <f t="shared" si="4"/>
        <v>0</v>
      </c>
      <c r="V98" s="28">
        <f>F98+'Ny lokal'!F98</f>
        <v>0</v>
      </c>
      <c r="W98" s="28">
        <f>G98+'Ny lokal'!G98</f>
        <v>0</v>
      </c>
      <c r="X98" s="28">
        <f>H98+'Ny lokal'!H98</f>
        <v>0</v>
      </c>
      <c r="Y98" s="28">
        <f>I98+'Ny lokal'!I98</f>
        <v>0</v>
      </c>
      <c r="Z98" s="28">
        <f>J98+'Ny lokal'!J98</f>
        <v>0</v>
      </c>
      <c r="AA98" s="28">
        <f>K98+'Ny lokal'!K98</f>
        <v>0</v>
      </c>
      <c r="AB98" s="28">
        <f>L98+'Ny lokal'!L98</f>
        <v>0</v>
      </c>
      <c r="AC98" s="28">
        <f>M98+'Ny lokal'!M98</f>
        <v>0</v>
      </c>
      <c r="AD98" s="28">
        <f>N98+'Ny lokal'!N98</f>
        <v>0</v>
      </c>
      <c r="AE98" s="28">
        <f>O98+'Ny lokal'!O98</f>
        <v>0</v>
      </c>
      <c r="AF98" s="28">
        <f>P98+'Ny lokal'!P98</f>
        <v>0</v>
      </c>
      <c r="AG98" s="28">
        <f>Q98+'Ny lokal'!Q98</f>
        <v>0</v>
      </c>
    </row>
    <row r="99" spans="2:33" x14ac:dyDescent="0.2">
      <c r="B99" s="49">
        <v>7621</v>
      </c>
      <c r="C99" t="s">
        <v>239</v>
      </c>
      <c r="D99" s="49" t="s">
        <v>240</v>
      </c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50">
        <f t="shared" si="4"/>
        <v>0</v>
      </c>
      <c r="V99" s="28">
        <f>F99+'Ny lokal'!F99</f>
        <v>0</v>
      </c>
      <c r="W99" s="28">
        <f>G99+'Ny lokal'!G99</f>
        <v>0</v>
      </c>
      <c r="X99" s="28">
        <f>H99+'Ny lokal'!H99</f>
        <v>0</v>
      </c>
      <c r="Y99" s="28">
        <f>I99+'Ny lokal'!I99</f>
        <v>0</v>
      </c>
      <c r="Z99" s="28">
        <f>J99+'Ny lokal'!J99</f>
        <v>0</v>
      </c>
      <c r="AA99" s="28">
        <f>K99+'Ny lokal'!K99</f>
        <v>0</v>
      </c>
      <c r="AB99" s="28">
        <f>L99+'Ny lokal'!L99</f>
        <v>0</v>
      </c>
      <c r="AC99" s="28">
        <f>M99+'Ny lokal'!M99</f>
        <v>0</v>
      </c>
      <c r="AD99" s="28">
        <f>N99+'Ny lokal'!N99</f>
        <v>0</v>
      </c>
      <c r="AE99" s="28">
        <f>O99+'Ny lokal'!O99</f>
        <v>0</v>
      </c>
      <c r="AF99" s="28">
        <f>P99+'Ny lokal'!P99</f>
        <v>0</v>
      </c>
      <c r="AG99" s="28">
        <f>Q99+'Ny lokal'!Q99</f>
        <v>0</v>
      </c>
    </row>
    <row r="100" spans="2:33" x14ac:dyDescent="0.2">
      <c r="B100" s="49">
        <v>7622</v>
      </c>
      <c r="C100" t="s">
        <v>241</v>
      </c>
      <c r="D100" s="49" t="s">
        <v>242</v>
      </c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50">
        <f t="shared" si="4"/>
        <v>0</v>
      </c>
      <c r="V100" s="28">
        <f>F100+'Ny lokal'!F100</f>
        <v>0</v>
      </c>
      <c r="W100" s="28">
        <f>G100+'Ny lokal'!G100</f>
        <v>0</v>
      </c>
      <c r="X100" s="28">
        <f>H100+'Ny lokal'!H100</f>
        <v>0</v>
      </c>
      <c r="Y100" s="28">
        <f>I100+'Ny lokal'!I100</f>
        <v>0</v>
      </c>
      <c r="Z100" s="28">
        <f>J100+'Ny lokal'!J100</f>
        <v>0</v>
      </c>
      <c r="AA100" s="28">
        <f>K100+'Ny lokal'!K100</f>
        <v>0</v>
      </c>
      <c r="AB100" s="28">
        <f>L100+'Ny lokal'!L100</f>
        <v>0</v>
      </c>
      <c r="AC100" s="28">
        <f>M100+'Ny lokal'!M100</f>
        <v>0</v>
      </c>
      <c r="AD100" s="28">
        <f>N100+'Ny lokal'!N100</f>
        <v>0</v>
      </c>
      <c r="AE100" s="28">
        <f>O100+'Ny lokal'!O100</f>
        <v>0</v>
      </c>
      <c r="AF100" s="28">
        <f>P100+'Ny lokal'!P100</f>
        <v>0</v>
      </c>
      <c r="AG100" s="28">
        <f>Q100+'Ny lokal'!Q100</f>
        <v>0</v>
      </c>
    </row>
    <row r="101" spans="2:33" x14ac:dyDescent="0.2">
      <c r="B101" s="49">
        <v>7631</v>
      </c>
      <c r="C101" t="s">
        <v>243</v>
      </c>
      <c r="D101" s="49" t="s">
        <v>244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50">
        <f t="shared" si="4"/>
        <v>0</v>
      </c>
      <c r="V101" s="28">
        <f>F101+'Ny lokal'!F101</f>
        <v>0</v>
      </c>
      <c r="W101" s="28">
        <f>G101+'Ny lokal'!G101</f>
        <v>0</v>
      </c>
      <c r="X101" s="28">
        <f>H101+'Ny lokal'!H101</f>
        <v>0</v>
      </c>
      <c r="Y101" s="28">
        <f>I101+'Ny lokal'!I101</f>
        <v>0</v>
      </c>
      <c r="Z101" s="28">
        <f>J101+'Ny lokal'!J101</f>
        <v>0</v>
      </c>
      <c r="AA101" s="28">
        <f>K101+'Ny lokal'!K101</f>
        <v>0</v>
      </c>
      <c r="AB101" s="28">
        <f>L101+'Ny lokal'!L101</f>
        <v>0</v>
      </c>
      <c r="AC101" s="28">
        <f>M101+'Ny lokal'!M101</f>
        <v>0</v>
      </c>
      <c r="AD101" s="28">
        <f>N101+'Ny lokal'!N101</f>
        <v>0</v>
      </c>
      <c r="AE101" s="28">
        <f>O101+'Ny lokal'!O101</f>
        <v>0</v>
      </c>
      <c r="AF101" s="28">
        <f>P101+'Ny lokal'!P101</f>
        <v>0</v>
      </c>
      <c r="AG101" s="28">
        <f>Q101+'Ny lokal'!Q101</f>
        <v>0</v>
      </c>
    </row>
    <row r="102" spans="2:33" x14ac:dyDescent="0.2">
      <c r="B102" s="49">
        <v>7632</v>
      </c>
      <c r="C102" t="s">
        <v>245</v>
      </c>
      <c r="D102" s="49" t="s">
        <v>246</v>
      </c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50">
        <f t="shared" si="4"/>
        <v>0</v>
      </c>
      <c r="V102" s="28">
        <f>F102+'Ny lokal'!F102</f>
        <v>0</v>
      </c>
      <c r="W102" s="28">
        <f>G102+'Ny lokal'!G102</f>
        <v>0</v>
      </c>
      <c r="X102" s="28">
        <f>H102+'Ny lokal'!H102</f>
        <v>0</v>
      </c>
      <c r="Y102" s="28">
        <f>I102+'Ny lokal'!I102</f>
        <v>0</v>
      </c>
      <c r="Z102" s="28">
        <f>J102+'Ny lokal'!J102</f>
        <v>0</v>
      </c>
      <c r="AA102" s="28">
        <f>K102+'Ny lokal'!K102</f>
        <v>0</v>
      </c>
      <c r="AB102" s="28">
        <f>L102+'Ny lokal'!L102</f>
        <v>0</v>
      </c>
      <c r="AC102" s="28">
        <f>M102+'Ny lokal'!M102</f>
        <v>0</v>
      </c>
      <c r="AD102" s="28">
        <f>N102+'Ny lokal'!N102</f>
        <v>0</v>
      </c>
      <c r="AE102" s="28">
        <f>O102+'Ny lokal'!O102</f>
        <v>0</v>
      </c>
      <c r="AF102" s="28">
        <f>P102+'Ny lokal'!P102</f>
        <v>0</v>
      </c>
      <c r="AG102" s="28">
        <f>Q102+'Ny lokal'!Q102</f>
        <v>0</v>
      </c>
    </row>
    <row r="103" spans="2:33" x14ac:dyDescent="0.2">
      <c r="B103" s="49">
        <v>7690</v>
      </c>
      <c r="C103" t="s">
        <v>247</v>
      </c>
      <c r="D103" s="49" t="s">
        <v>248</v>
      </c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50">
        <f t="shared" si="4"/>
        <v>0</v>
      </c>
      <c r="V103" s="28">
        <f>F103+'Ny lokal'!F103</f>
        <v>0</v>
      </c>
      <c r="W103" s="28">
        <f>G103+'Ny lokal'!G103</f>
        <v>0</v>
      </c>
      <c r="X103" s="28">
        <f>H103+'Ny lokal'!H103</f>
        <v>0</v>
      </c>
      <c r="Y103" s="28">
        <f>I103+'Ny lokal'!I103</f>
        <v>0</v>
      </c>
      <c r="Z103" s="28">
        <f>J103+'Ny lokal'!J103</f>
        <v>0</v>
      </c>
      <c r="AA103" s="28">
        <f>K103+'Ny lokal'!K103</f>
        <v>0</v>
      </c>
      <c r="AB103" s="28">
        <f>L103+'Ny lokal'!L103</f>
        <v>0</v>
      </c>
      <c r="AC103" s="28">
        <f>M103+'Ny lokal'!M103</f>
        <v>0</v>
      </c>
      <c r="AD103" s="28">
        <f>N103+'Ny lokal'!N103</f>
        <v>0</v>
      </c>
      <c r="AE103" s="28">
        <f>O103+'Ny lokal'!O103</f>
        <v>0</v>
      </c>
      <c r="AF103" s="28">
        <f>P103+'Ny lokal'!P103</f>
        <v>0</v>
      </c>
      <c r="AG103" s="28">
        <f>Q103+'Ny lokal'!Q103</f>
        <v>0</v>
      </c>
    </row>
    <row r="104" spans="2:33" x14ac:dyDescent="0.2">
      <c r="B104" s="49">
        <v>7691</v>
      </c>
      <c r="C104" t="s">
        <v>249</v>
      </c>
      <c r="D104" s="49" t="s">
        <v>250</v>
      </c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50">
        <f t="shared" si="4"/>
        <v>0</v>
      </c>
      <c r="V104" s="28">
        <f>F104+'Ny lokal'!F104</f>
        <v>0</v>
      </c>
      <c r="W104" s="28">
        <f>G104+'Ny lokal'!G104</f>
        <v>0</v>
      </c>
      <c r="X104" s="28">
        <f>H104+'Ny lokal'!H104</f>
        <v>0</v>
      </c>
      <c r="Y104" s="28">
        <f>I104+'Ny lokal'!I104</f>
        <v>0</v>
      </c>
      <c r="Z104" s="28">
        <f>J104+'Ny lokal'!J104</f>
        <v>0</v>
      </c>
      <c r="AA104" s="28">
        <f>K104+'Ny lokal'!K104</f>
        <v>0</v>
      </c>
      <c r="AB104" s="28">
        <f>L104+'Ny lokal'!L104</f>
        <v>0</v>
      </c>
      <c r="AC104" s="28">
        <f>M104+'Ny lokal'!M104</f>
        <v>0</v>
      </c>
      <c r="AD104" s="28">
        <f>N104+'Ny lokal'!N104</f>
        <v>0</v>
      </c>
      <c r="AE104" s="28">
        <f>O104+'Ny lokal'!O104</f>
        <v>0</v>
      </c>
      <c r="AF104" s="28">
        <f>P104+'Ny lokal'!P104</f>
        <v>0</v>
      </c>
      <c r="AG104" s="28">
        <f>Q104+'Ny lokal'!Q104</f>
        <v>0</v>
      </c>
    </row>
    <row r="105" spans="2:33" x14ac:dyDescent="0.2">
      <c r="B105" s="49">
        <v>7692</v>
      </c>
      <c r="C105" t="s">
        <v>251</v>
      </c>
      <c r="D105" s="49" t="s">
        <v>252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50"/>
      <c r="V105" s="28">
        <f>F105+'Ny lokal'!F105</f>
        <v>0</v>
      </c>
      <c r="W105" s="28">
        <f>G105+'Ny lokal'!G105</f>
        <v>0</v>
      </c>
      <c r="X105" s="28">
        <f>H105+'Ny lokal'!H105</f>
        <v>0</v>
      </c>
      <c r="Y105" s="28">
        <f>I105+'Ny lokal'!I105</f>
        <v>0</v>
      </c>
      <c r="Z105" s="28">
        <f>J105+'Ny lokal'!J105</f>
        <v>0</v>
      </c>
      <c r="AA105" s="28">
        <f>K105+'Ny lokal'!K105</f>
        <v>0</v>
      </c>
      <c r="AB105" s="28">
        <f>L105+'Ny lokal'!L105</f>
        <v>0</v>
      </c>
      <c r="AC105" s="28">
        <f>M105+'Ny lokal'!M105</f>
        <v>0</v>
      </c>
      <c r="AD105" s="28">
        <f>N105+'Ny lokal'!N105</f>
        <v>0</v>
      </c>
      <c r="AE105" s="28">
        <f>O105+'Ny lokal'!O105</f>
        <v>0</v>
      </c>
      <c r="AF105" s="28">
        <f>P105+'Ny lokal'!P105</f>
        <v>0</v>
      </c>
      <c r="AG105" s="28">
        <f>Q105+'Ny lokal'!Q105</f>
        <v>0</v>
      </c>
    </row>
    <row r="106" spans="2:33" x14ac:dyDescent="0.2">
      <c r="F106" s="53">
        <f>SUM(F2:F104)</f>
        <v>177.22214933333333</v>
      </c>
      <c r="G106" s="53">
        <f t="shared" ref="G106:R106" si="14">SUM(G2:G104)</f>
        <v>177.22214933333333</v>
      </c>
      <c r="H106" s="53">
        <f t="shared" si="14"/>
        <v>177.22214933333333</v>
      </c>
      <c r="I106" s="53">
        <f t="shared" si="14"/>
        <v>180.02470181333337</v>
      </c>
      <c r="J106" s="53">
        <f t="shared" si="14"/>
        <v>180.02470181333337</v>
      </c>
      <c r="K106" s="53">
        <f t="shared" si="14"/>
        <v>180.02470181333337</v>
      </c>
      <c r="L106" s="53">
        <f t="shared" si="14"/>
        <v>89.061034613333362</v>
      </c>
      <c r="M106" s="53">
        <f t="shared" si="14"/>
        <v>180.02470181333337</v>
      </c>
      <c r="N106" s="53">
        <f t="shared" si="14"/>
        <v>180.02470181333337</v>
      </c>
      <c r="O106" s="53">
        <f t="shared" si="14"/>
        <v>180.02470181333337</v>
      </c>
      <c r="P106" s="53">
        <f t="shared" si="14"/>
        <v>180.02470181333337</v>
      </c>
      <c r="Q106" s="53">
        <f t="shared" si="14"/>
        <v>180.02470181333337</v>
      </c>
      <c r="R106" s="53">
        <f t="shared" si="14"/>
        <v>2060.9250971199999</v>
      </c>
    </row>
    <row r="108" spans="2:33" x14ac:dyDescent="0.2">
      <c r="E108" t="s">
        <v>253</v>
      </c>
      <c r="F108" s="28">
        <f>SUM(F2:F71)</f>
        <v>78.833333333333343</v>
      </c>
      <c r="G108" s="28">
        <f t="shared" ref="G108:R108" si="15">SUM(G2:G71)</f>
        <v>78.833333333333343</v>
      </c>
      <c r="H108" s="28">
        <f t="shared" si="15"/>
        <v>78.833333333333343</v>
      </c>
      <c r="I108" s="28">
        <f t="shared" si="15"/>
        <v>78.833333333333343</v>
      </c>
      <c r="J108" s="28">
        <f t="shared" si="15"/>
        <v>78.833333333333343</v>
      </c>
      <c r="K108" s="28">
        <f t="shared" si="15"/>
        <v>78.833333333333343</v>
      </c>
      <c r="L108" s="28">
        <f>SUM(L2:L71)</f>
        <v>78.833333333333343</v>
      </c>
      <c r="M108" s="28">
        <f t="shared" si="15"/>
        <v>78.833333333333343</v>
      </c>
      <c r="N108" s="28">
        <f t="shared" si="15"/>
        <v>78.833333333333343</v>
      </c>
      <c r="O108" s="28">
        <f t="shared" si="15"/>
        <v>78.833333333333343</v>
      </c>
      <c r="P108" s="28">
        <f t="shared" si="15"/>
        <v>78.833333333333343</v>
      </c>
      <c r="Q108" s="28">
        <f t="shared" si="15"/>
        <v>78.833333333333343</v>
      </c>
      <c r="R108" s="28">
        <f t="shared" si="15"/>
        <v>946</v>
      </c>
    </row>
    <row r="109" spans="2:33" x14ac:dyDescent="0.2">
      <c r="E109" t="s">
        <v>254</v>
      </c>
      <c r="F109">
        <f>SUM(F72:F104)</f>
        <v>98.388815999999991</v>
      </c>
      <c r="G109">
        <f t="shared" ref="G109:R109" si="16">SUM(G72:G104)</f>
        <v>98.388815999999991</v>
      </c>
      <c r="H109">
        <f t="shared" si="16"/>
        <v>98.388815999999991</v>
      </c>
      <c r="I109">
        <f t="shared" si="16"/>
        <v>101.19136847999999</v>
      </c>
      <c r="J109">
        <f t="shared" si="16"/>
        <v>101.19136847999999</v>
      </c>
      <c r="K109">
        <f t="shared" si="16"/>
        <v>101.19136847999999</v>
      </c>
      <c r="L109">
        <f t="shared" si="16"/>
        <v>10.227701279999996</v>
      </c>
      <c r="M109">
        <f t="shared" si="16"/>
        <v>101.19136847999999</v>
      </c>
      <c r="N109">
        <f t="shared" si="16"/>
        <v>101.19136847999999</v>
      </c>
      <c r="O109">
        <f t="shared" si="16"/>
        <v>101.19136847999999</v>
      </c>
      <c r="P109">
        <f t="shared" si="16"/>
        <v>101.19136847999999</v>
      </c>
      <c r="Q109">
        <f t="shared" si="16"/>
        <v>101.19136847999999</v>
      </c>
      <c r="R109">
        <f t="shared" si="16"/>
        <v>1114.9250971200001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AAF4-4A6B-47EF-BCD7-1258F0756889}">
  <sheetPr>
    <tabColor rgb="FF92D050"/>
  </sheetPr>
  <dimension ref="B1:U109"/>
  <sheetViews>
    <sheetView workbookViewId="0">
      <selection sqref="A1:A1048576"/>
    </sheetView>
  </sheetViews>
  <sheetFormatPr defaultRowHeight="15" x14ac:dyDescent="0.2"/>
  <cols>
    <col min="1" max="1" width="9.953125" bestFit="1" customWidth="1"/>
    <col min="2" max="2" width="6.3203125" bestFit="1" customWidth="1"/>
    <col min="3" max="3" width="49.234375" bestFit="1" customWidth="1"/>
    <col min="4" max="4" width="53.80859375" bestFit="1" customWidth="1"/>
    <col min="5" max="5" width="8.7421875" bestFit="1" customWidth="1"/>
    <col min="6" max="17" width="8.875" customWidth="1"/>
    <col min="18" max="18" width="11.703125" bestFit="1" customWidth="1"/>
    <col min="19" max="50" width="10.35546875" bestFit="1" customWidth="1"/>
    <col min="51" max="51" width="10.76171875" bestFit="1" customWidth="1"/>
    <col min="52" max="53" width="10.35546875" bestFit="1" customWidth="1"/>
    <col min="54" max="54" width="10.76171875" bestFit="1" customWidth="1"/>
    <col min="55" max="66" width="10.35546875" bestFit="1" customWidth="1"/>
    <col min="67" max="67" width="11.97265625" bestFit="1" customWidth="1"/>
  </cols>
  <sheetData>
    <row r="1" spans="2:18" x14ac:dyDescent="0.2">
      <c r="B1" t="s">
        <v>40</v>
      </c>
      <c r="C1" t="s">
        <v>41</v>
      </c>
      <c r="D1" t="s">
        <v>42</v>
      </c>
      <c r="F1" s="48">
        <v>2601</v>
      </c>
      <c r="G1" s="48">
        <v>2602</v>
      </c>
      <c r="H1" s="48">
        <v>2603</v>
      </c>
      <c r="I1" s="48">
        <v>2604</v>
      </c>
      <c r="J1" s="48">
        <v>2605</v>
      </c>
      <c r="K1" s="48">
        <v>2606</v>
      </c>
      <c r="L1" s="48">
        <v>2607</v>
      </c>
      <c r="M1" s="48">
        <v>2608</v>
      </c>
      <c r="N1" s="48">
        <v>2609</v>
      </c>
      <c r="O1" s="48">
        <v>2610</v>
      </c>
      <c r="P1" s="48">
        <v>2611</v>
      </c>
      <c r="Q1" s="48">
        <v>2612</v>
      </c>
      <c r="R1" s="48" t="s">
        <v>43</v>
      </c>
    </row>
    <row r="2" spans="2:18" x14ac:dyDescent="0.2">
      <c r="B2" s="49">
        <v>5010</v>
      </c>
      <c r="C2" t="s">
        <v>44</v>
      </c>
      <c r="D2" s="49" t="s">
        <v>45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>
        <f>SUM(F2:Q2)</f>
        <v>0</v>
      </c>
    </row>
    <row r="3" spans="2:18" x14ac:dyDescent="0.2">
      <c r="B3" s="49">
        <v>5020</v>
      </c>
      <c r="C3" t="s">
        <v>46</v>
      </c>
      <c r="D3" s="49" t="s">
        <v>47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50">
        <f t="shared" ref="R3:R65" si="0">SUM(F3:Q3)</f>
        <v>0</v>
      </c>
    </row>
    <row r="4" spans="2:18" x14ac:dyDescent="0.2">
      <c r="B4" s="49">
        <v>5030</v>
      </c>
      <c r="C4" t="s">
        <v>48</v>
      </c>
      <c r="D4" s="49" t="s">
        <v>49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50">
        <f t="shared" si="0"/>
        <v>0</v>
      </c>
    </row>
    <row r="5" spans="2:18" x14ac:dyDescent="0.2">
      <c r="B5" s="49">
        <v>5060</v>
      </c>
      <c r="C5" t="s">
        <v>50</v>
      </c>
      <c r="D5" s="49" t="s">
        <v>51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50">
        <f t="shared" si="0"/>
        <v>0</v>
      </c>
    </row>
    <row r="6" spans="2:18" x14ac:dyDescent="0.2">
      <c r="B6" s="49">
        <v>5061</v>
      </c>
      <c r="C6" t="s">
        <v>52</v>
      </c>
      <c r="D6" s="49" t="s">
        <v>53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50">
        <f t="shared" si="0"/>
        <v>0</v>
      </c>
    </row>
    <row r="7" spans="2:18" x14ac:dyDescent="0.2">
      <c r="B7" s="49">
        <v>5070</v>
      </c>
      <c r="C7" t="s">
        <v>54</v>
      </c>
      <c r="D7" s="49" t="s">
        <v>55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50">
        <f t="shared" si="0"/>
        <v>0</v>
      </c>
    </row>
    <row r="8" spans="2:18" x14ac:dyDescent="0.2">
      <c r="B8" s="49">
        <v>5071</v>
      </c>
      <c r="C8" t="s">
        <v>56</v>
      </c>
      <c r="D8" s="49" t="s">
        <v>57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50">
        <f t="shared" si="0"/>
        <v>0</v>
      </c>
    </row>
    <row r="9" spans="2:18" x14ac:dyDescent="0.2">
      <c r="B9" s="49">
        <v>5090</v>
      </c>
      <c r="C9" t="s">
        <v>58</v>
      </c>
      <c r="D9" s="49" t="s">
        <v>59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50">
        <f t="shared" si="0"/>
        <v>0</v>
      </c>
    </row>
    <row r="10" spans="2:18" x14ac:dyDescent="0.2">
      <c r="B10" s="49">
        <v>5222</v>
      </c>
      <c r="C10" t="s">
        <v>60</v>
      </c>
      <c r="D10" s="49" t="s">
        <v>61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50">
        <f t="shared" si="0"/>
        <v>0</v>
      </c>
    </row>
    <row r="11" spans="2:18" x14ac:dyDescent="0.2">
      <c r="B11" s="49">
        <v>5410</v>
      </c>
      <c r="C11" t="s">
        <v>62</v>
      </c>
      <c r="D11" s="49" t="s">
        <v>63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50">
        <f t="shared" si="0"/>
        <v>0</v>
      </c>
    </row>
    <row r="12" spans="2:18" x14ac:dyDescent="0.2">
      <c r="B12" s="49">
        <v>5420</v>
      </c>
      <c r="C12" t="s">
        <v>64</v>
      </c>
      <c r="D12" s="49" t="s">
        <v>65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50">
        <f t="shared" si="0"/>
        <v>0</v>
      </c>
    </row>
    <row r="13" spans="2:18" x14ac:dyDescent="0.2">
      <c r="B13" s="49">
        <v>5440</v>
      </c>
      <c r="C13" t="s">
        <v>66</v>
      </c>
      <c r="D13" s="49" t="s">
        <v>67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0">
        <f t="shared" si="0"/>
        <v>0</v>
      </c>
    </row>
    <row r="14" spans="2:18" x14ac:dyDescent="0.2">
      <c r="B14" s="49">
        <v>5460</v>
      </c>
      <c r="C14" t="s">
        <v>68</v>
      </c>
      <c r="D14" s="49" t="s">
        <v>69</v>
      </c>
      <c r="F14" s="48">
        <v>10</v>
      </c>
      <c r="G14" s="48">
        <v>10</v>
      </c>
      <c r="H14" s="48">
        <v>10</v>
      </c>
      <c r="I14" s="48">
        <v>10</v>
      </c>
      <c r="J14" s="48">
        <v>10</v>
      </c>
      <c r="K14" s="48">
        <v>10</v>
      </c>
      <c r="L14" s="48">
        <v>10</v>
      </c>
      <c r="M14" s="48">
        <v>10</v>
      </c>
      <c r="N14" s="48">
        <v>10</v>
      </c>
      <c r="O14" s="48">
        <v>10</v>
      </c>
      <c r="P14" s="48">
        <v>10</v>
      </c>
      <c r="Q14" s="48">
        <v>10</v>
      </c>
      <c r="R14" s="50">
        <f t="shared" si="0"/>
        <v>120</v>
      </c>
    </row>
    <row r="15" spans="2:18" x14ac:dyDescent="0.2">
      <c r="B15" s="49">
        <v>5462</v>
      </c>
      <c r="C15" t="s">
        <v>70</v>
      </c>
      <c r="D15" s="51" t="s">
        <v>71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0">
        <f t="shared" si="0"/>
        <v>0</v>
      </c>
    </row>
    <row r="16" spans="2:18" x14ac:dyDescent="0.2">
      <c r="B16" s="49">
        <v>5463</v>
      </c>
      <c r="C16" t="s">
        <v>72</v>
      </c>
      <c r="D16" s="51" t="s">
        <v>73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50">
        <f t="shared" si="0"/>
        <v>0</v>
      </c>
    </row>
    <row r="17" spans="2:18" x14ac:dyDescent="0.2">
      <c r="B17" s="49">
        <v>5464</v>
      </c>
      <c r="C17" t="s">
        <v>75</v>
      </c>
      <c r="D17" s="51" t="s">
        <v>76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50">
        <f t="shared" si="0"/>
        <v>0</v>
      </c>
    </row>
    <row r="18" spans="2:18" x14ac:dyDescent="0.2">
      <c r="B18" s="49">
        <v>5465</v>
      </c>
      <c r="C18" t="s">
        <v>77</v>
      </c>
      <c r="D18" s="51" t="s">
        <v>78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0">
        <f t="shared" si="0"/>
        <v>0</v>
      </c>
    </row>
    <row r="19" spans="2:18" x14ac:dyDescent="0.2">
      <c r="B19" s="49">
        <v>5466</v>
      </c>
      <c r="C19" t="s">
        <v>79</v>
      </c>
      <c r="D19" s="51" t="s">
        <v>80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50">
        <f t="shared" si="0"/>
        <v>0</v>
      </c>
    </row>
    <row r="20" spans="2:18" x14ac:dyDescent="0.2">
      <c r="B20" s="49">
        <v>5480</v>
      </c>
      <c r="C20" t="s">
        <v>74</v>
      </c>
      <c r="D20" s="49" t="s">
        <v>81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50">
        <f t="shared" si="0"/>
        <v>0</v>
      </c>
    </row>
    <row r="21" spans="2:18" x14ac:dyDescent="0.2">
      <c r="B21" s="49">
        <v>5500</v>
      </c>
      <c r="C21" t="s">
        <v>82</v>
      </c>
      <c r="D21" s="49" t="s">
        <v>83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50">
        <f t="shared" si="0"/>
        <v>0</v>
      </c>
    </row>
    <row r="22" spans="2:18" x14ac:dyDescent="0.2">
      <c r="B22" s="49">
        <v>5611</v>
      </c>
      <c r="C22" t="s">
        <v>84</v>
      </c>
      <c r="D22" s="49" t="s">
        <v>85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50">
        <f t="shared" si="0"/>
        <v>0</v>
      </c>
    </row>
    <row r="23" spans="2:18" x14ac:dyDescent="0.2">
      <c r="B23" s="49">
        <v>5612</v>
      </c>
      <c r="C23" t="s">
        <v>86</v>
      </c>
      <c r="D23" s="49" t="s">
        <v>87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50">
        <f t="shared" si="0"/>
        <v>0</v>
      </c>
    </row>
    <row r="24" spans="2:18" x14ac:dyDescent="0.2">
      <c r="B24" s="49">
        <v>5613</v>
      </c>
      <c r="C24" t="s">
        <v>88</v>
      </c>
      <c r="D24" s="49" t="s">
        <v>89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50">
        <f t="shared" si="0"/>
        <v>0</v>
      </c>
    </row>
    <row r="25" spans="2:18" x14ac:dyDescent="0.2">
      <c r="B25" s="49">
        <v>5615</v>
      </c>
      <c r="C25" t="s">
        <v>90</v>
      </c>
      <c r="D25" s="49" t="s">
        <v>91</v>
      </c>
      <c r="F25" s="48">
        <v>11</v>
      </c>
      <c r="G25" s="48">
        <v>11</v>
      </c>
      <c r="H25" s="48">
        <v>11</v>
      </c>
      <c r="I25" s="48">
        <v>11</v>
      </c>
      <c r="J25" s="48">
        <v>11</v>
      </c>
      <c r="K25" s="48">
        <v>11</v>
      </c>
      <c r="L25" s="48">
        <v>11</v>
      </c>
      <c r="M25" s="48">
        <v>11</v>
      </c>
      <c r="N25" s="48">
        <v>11</v>
      </c>
      <c r="O25" s="48">
        <v>11</v>
      </c>
      <c r="P25" s="48">
        <v>11</v>
      </c>
      <c r="Q25" s="48">
        <v>11</v>
      </c>
      <c r="R25" s="50">
        <f t="shared" si="0"/>
        <v>132</v>
      </c>
    </row>
    <row r="26" spans="2:18" x14ac:dyDescent="0.2">
      <c r="B26" s="49">
        <v>5616</v>
      </c>
      <c r="C26" t="s">
        <v>92</v>
      </c>
      <c r="D26" s="49" t="s">
        <v>93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50">
        <f t="shared" si="0"/>
        <v>0</v>
      </c>
    </row>
    <row r="27" spans="2:18" x14ac:dyDescent="0.2">
      <c r="B27" s="49">
        <v>5619</v>
      </c>
      <c r="C27" t="s">
        <v>94</v>
      </c>
      <c r="D27" s="49" t="s">
        <v>95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50">
        <f t="shared" si="0"/>
        <v>0</v>
      </c>
    </row>
    <row r="28" spans="2:18" x14ac:dyDescent="0.2">
      <c r="B28" s="49">
        <v>5720</v>
      </c>
      <c r="C28" t="s">
        <v>96</v>
      </c>
      <c r="D28" s="49" t="s">
        <v>97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50">
        <f t="shared" si="0"/>
        <v>0</v>
      </c>
    </row>
    <row r="29" spans="2:18" x14ac:dyDescent="0.2">
      <c r="B29" s="49">
        <v>5831</v>
      </c>
      <c r="C29" t="s">
        <v>98</v>
      </c>
      <c r="D29" s="49" t="s">
        <v>99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50">
        <f t="shared" si="0"/>
        <v>0</v>
      </c>
    </row>
    <row r="30" spans="2:18" x14ac:dyDescent="0.2">
      <c r="B30" s="49">
        <v>5832</v>
      </c>
      <c r="C30" t="s">
        <v>100</v>
      </c>
      <c r="D30" s="49" t="s">
        <v>101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50">
        <f t="shared" si="0"/>
        <v>0</v>
      </c>
    </row>
    <row r="31" spans="2:18" x14ac:dyDescent="0.2">
      <c r="B31" s="49">
        <v>5890</v>
      </c>
      <c r="C31" t="s">
        <v>103</v>
      </c>
      <c r="D31" s="49" t="s">
        <v>104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50">
        <f t="shared" si="0"/>
        <v>0</v>
      </c>
    </row>
    <row r="32" spans="2:18" x14ac:dyDescent="0.2">
      <c r="B32" s="49">
        <v>5891</v>
      </c>
      <c r="C32" s="54" t="s">
        <v>106</v>
      </c>
      <c r="D32" s="51" t="s">
        <v>107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50">
        <f t="shared" si="0"/>
        <v>0</v>
      </c>
    </row>
    <row r="33" spans="2:18" x14ac:dyDescent="0.2">
      <c r="B33" s="49">
        <v>5892</v>
      </c>
      <c r="C33" s="54" t="s">
        <v>108</v>
      </c>
      <c r="D33" s="51" t="s">
        <v>109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50">
        <f t="shared" si="0"/>
        <v>0</v>
      </c>
    </row>
    <row r="34" spans="2:18" x14ac:dyDescent="0.2">
      <c r="B34" s="49">
        <v>5900</v>
      </c>
      <c r="C34" t="s">
        <v>110</v>
      </c>
      <c r="D34" s="49" t="s">
        <v>111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0">
        <f t="shared" si="0"/>
        <v>0</v>
      </c>
    </row>
    <row r="35" spans="2:18" x14ac:dyDescent="0.2">
      <c r="B35" s="49">
        <v>5930</v>
      </c>
      <c r="C35" t="s">
        <v>112</v>
      </c>
      <c r="D35" s="49" t="s">
        <v>113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0">
        <f t="shared" si="0"/>
        <v>0</v>
      </c>
    </row>
    <row r="36" spans="2:18" x14ac:dyDescent="0.2">
      <c r="B36" s="49">
        <v>5940</v>
      </c>
      <c r="C36" t="s">
        <v>114</v>
      </c>
      <c r="D36" s="49" t="s">
        <v>115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0">
        <f t="shared" si="0"/>
        <v>0</v>
      </c>
    </row>
    <row r="37" spans="2:18" x14ac:dyDescent="0.2">
      <c r="B37" s="49">
        <v>5941</v>
      </c>
      <c r="C37" t="s">
        <v>116</v>
      </c>
      <c r="D37" s="49" t="s">
        <v>117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0">
        <f t="shared" si="0"/>
        <v>0</v>
      </c>
    </row>
    <row r="38" spans="2:18" x14ac:dyDescent="0.2">
      <c r="B38" s="49">
        <v>5970</v>
      </c>
      <c r="C38" t="s">
        <v>118</v>
      </c>
      <c r="D38" s="49" t="s">
        <v>119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0">
        <f t="shared" si="0"/>
        <v>0</v>
      </c>
    </row>
    <row r="39" spans="2:18" x14ac:dyDescent="0.2">
      <c r="B39" s="49">
        <v>5980</v>
      </c>
      <c r="C39" t="s">
        <v>120</v>
      </c>
      <c r="D39" s="49" t="s">
        <v>121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0">
        <f t="shared" si="0"/>
        <v>0</v>
      </c>
    </row>
    <row r="40" spans="2:18" x14ac:dyDescent="0.2">
      <c r="B40" s="49">
        <v>5990</v>
      </c>
      <c r="C40" t="s">
        <v>122</v>
      </c>
      <c r="D40" s="49" t="s">
        <v>123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0">
        <f t="shared" si="0"/>
        <v>0</v>
      </c>
    </row>
    <row r="41" spans="2:18" x14ac:dyDescent="0.2">
      <c r="B41" s="49">
        <v>6071</v>
      </c>
      <c r="C41" t="s">
        <v>124</v>
      </c>
      <c r="D41" s="49" t="s">
        <v>125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0">
        <f t="shared" si="0"/>
        <v>0</v>
      </c>
    </row>
    <row r="42" spans="2:18" x14ac:dyDescent="0.2">
      <c r="B42" s="49">
        <v>6072</v>
      </c>
      <c r="C42" t="s">
        <v>127</v>
      </c>
      <c r="D42" s="49" t="s">
        <v>128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0">
        <f t="shared" si="0"/>
        <v>0</v>
      </c>
    </row>
    <row r="43" spans="2:18" x14ac:dyDescent="0.2">
      <c r="B43" s="49">
        <v>6090</v>
      </c>
      <c r="C43" t="s">
        <v>129</v>
      </c>
      <c r="D43" s="49" t="s">
        <v>130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50">
        <f t="shared" si="0"/>
        <v>0</v>
      </c>
    </row>
    <row r="44" spans="2:18" x14ac:dyDescent="0.2">
      <c r="B44" s="49">
        <v>6091</v>
      </c>
      <c r="C44" t="s">
        <v>131</v>
      </c>
      <c r="D44" s="51" t="s">
        <v>132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50">
        <f t="shared" si="0"/>
        <v>0</v>
      </c>
    </row>
    <row r="45" spans="2:18" x14ac:dyDescent="0.2">
      <c r="B45" s="49">
        <v>6092</v>
      </c>
      <c r="C45" t="s">
        <v>133</v>
      </c>
      <c r="D45" s="51" t="s">
        <v>134</v>
      </c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50">
        <f t="shared" si="0"/>
        <v>0</v>
      </c>
    </row>
    <row r="46" spans="2:18" x14ac:dyDescent="0.2">
      <c r="B46" s="49">
        <v>6093</v>
      </c>
      <c r="C46" t="s">
        <v>135</v>
      </c>
      <c r="D46" s="51" t="s">
        <v>136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50">
        <f t="shared" si="0"/>
        <v>0</v>
      </c>
    </row>
    <row r="47" spans="2:18" x14ac:dyDescent="0.2">
      <c r="B47" s="49">
        <v>6110</v>
      </c>
      <c r="C47" t="s">
        <v>138</v>
      </c>
      <c r="D47" s="49" t="s">
        <v>139</v>
      </c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50">
        <f t="shared" si="0"/>
        <v>0</v>
      </c>
    </row>
    <row r="48" spans="2:18" x14ac:dyDescent="0.2">
      <c r="B48" s="49">
        <v>6211</v>
      </c>
      <c r="C48" t="s">
        <v>140</v>
      </c>
      <c r="D48" s="49" t="s">
        <v>141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50">
        <f t="shared" si="0"/>
        <v>0</v>
      </c>
    </row>
    <row r="49" spans="2:21" x14ac:dyDescent="0.2">
      <c r="B49" s="49">
        <v>6212</v>
      </c>
      <c r="C49" t="s">
        <v>142</v>
      </c>
      <c r="D49" s="49" t="s">
        <v>143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50">
        <f t="shared" si="0"/>
        <v>0</v>
      </c>
    </row>
    <row r="50" spans="2:21" x14ac:dyDescent="0.2">
      <c r="B50" s="49">
        <v>6213</v>
      </c>
      <c r="C50" t="s">
        <v>144</v>
      </c>
      <c r="D50" s="49" t="s">
        <v>145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50">
        <f t="shared" si="0"/>
        <v>0</v>
      </c>
    </row>
    <row r="51" spans="2:21" x14ac:dyDescent="0.2">
      <c r="B51" s="49">
        <v>6230</v>
      </c>
      <c r="C51" t="s">
        <v>147</v>
      </c>
      <c r="D51" s="49" t="s">
        <v>148</v>
      </c>
      <c r="F51" s="48">
        <v>10</v>
      </c>
      <c r="G51" s="48">
        <v>10</v>
      </c>
      <c r="H51" s="48">
        <v>10</v>
      </c>
      <c r="I51" s="48">
        <v>10</v>
      </c>
      <c r="J51" s="48">
        <v>10</v>
      </c>
      <c r="K51" s="48">
        <v>10</v>
      </c>
      <c r="L51" s="48">
        <v>10</v>
      </c>
      <c r="M51" s="48">
        <v>10</v>
      </c>
      <c r="N51" s="48">
        <v>10</v>
      </c>
      <c r="O51" s="48">
        <v>10</v>
      </c>
      <c r="P51" s="48">
        <v>10</v>
      </c>
      <c r="Q51" s="48">
        <v>10</v>
      </c>
      <c r="R51" s="50">
        <f t="shared" si="0"/>
        <v>120</v>
      </c>
      <c r="S51" t="s">
        <v>258</v>
      </c>
      <c r="U51" t="s">
        <v>259</v>
      </c>
    </row>
    <row r="52" spans="2:21" x14ac:dyDescent="0.2">
      <c r="B52" s="49">
        <v>6250</v>
      </c>
      <c r="C52" t="s">
        <v>149</v>
      </c>
      <c r="D52" s="49" t="s">
        <v>150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50">
        <f t="shared" si="0"/>
        <v>0</v>
      </c>
    </row>
    <row r="53" spans="2:21" x14ac:dyDescent="0.2">
      <c r="B53" s="49">
        <v>6310</v>
      </c>
      <c r="C53" t="s">
        <v>151</v>
      </c>
      <c r="D53" s="49" t="s">
        <v>152</v>
      </c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50">
        <f t="shared" si="0"/>
        <v>0</v>
      </c>
    </row>
    <row r="54" spans="2:21" x14ac:dyDescent="0.2">
      <c r="B54" s="49">
        <v>6351</v>
      </c>
      <c r="C54" t="s">
        <v>153</v>
      </c>
      <c r="D54" s="49" t="s">
        <v>154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50">
        <f t="shared" si="0"/>
        <v>0</v>
      </c>
    </row>
    <row r="55" spans="2:21" x14ac:dyDescent="0.2">
      <c r="B55" s="49">
        <v>6370</v>
      </c>
      <c r="C55" t="s">
        <v>155</v>
      </c>
      <c r="D55" s="49" t="s">
        <v>156</v>
      </c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50">
        <f t="shared" si="0"/>
        <v>0</v>
      </c>
    </row>
    <row r="56" spans="2:21" x14ac:dyDescent="0.2">
      <c r="B56" s="49">
        <v>6420</v>
      </c>
      <c r="C56" t="s">
        <v>157</v>
      </c>
      <c r="D56" s="49" t="s">
        <v>158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50">
        <f t="shared" si="0"/>
        <v>0</v>
      </c>
    </row>
    <row r="57" spans="2:21" x14ac:dyDescent="0.2">
      <c r="B57" s="49">
        <v>6430</v>
      </c>
      <c r="C57" t="s">
        <v>160</v>
      </c>
      <c r="D57" s="49" t="s">
        <v>161</v>
      </c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50">
        <f t="shared" si="0"/>
        <v>0</v>
      </c>
    </row>
    <row r="58" spans="2:21" x14ac:dyDescent="0.2">
      <c r="B58" s="49">
        <v>6530</v>
      </c>
      <c r="C58" t="s">
        <v>162</v>
      </c>
      <c r="D58" s="49" t="s">
        <v>163</v>
      </c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50">
        <f t="shared" si="0"/>
        <v>0</v>
      </c>
    </row>
    <row r="59" spans="2:21" x14ac:dyDescent="0.2">
      <c r="B59" s="49">
        <v>6540</v>
      </c>
      <c r="C59" t="s">
        <v>137</v>
      </c>
      <c r="D59" s="49" t="s">
        <v>164</v>
      </c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50">
        <f t="shared" si="0"/>
        <v>0</v>
      </c>
    </row>
    <row r="60" spans="2:21" x14ac:dyDescent="0.2">
      <c r="B60" s="49">
        <v>6550</v>
      </c>
      <c r="C60" t="s">
        <v>165</v>
      </c>
      <c r="D60" s="49" t="s">
        <v>166</v>
      </c>
      <c r="F60" s="48">
        <f>200/12</f>
        <v>16.666666666666668</v>
      </c>
      <c r="G60" s="48">
        <f t="shared" ref="G60:Q60" si="1">200/12</f>
        <v>16.666666666666668</v>
      </c>
      <c r="H60" s="48">
        <f t="shared" si="1"/>
        <v>16.666666666666668</v>
      </c>
      <c r="I60" s="48">
        <f t="shared" si="1"/>
        <v>16.666666666666668</v>
      </c>
      <c r="J60" s="48">
        <f t="shared" si="1"/>
        <v>16.666666666666668</v>
      </c>
      <c r="K60" s="48">
        <f t="shared" si="1"/>
        <v>16.666666666666668</v>
      </c>
      <c r="L60" s="48">
        <f t="shared" si="1"/>
        <v>16.666666666666668</v>
      </c>
      <c r="M60" s="48">
        <f t="shared" si="1"/>
        <v>16.666666666666668</v>
      </c>
      <c r="N60" s="48">
        <f t="shared" si="1"/>
        <v>16.666666666666668</v>
      </c>
      <c r="O60" s="48">
        <f t="shared" si="1"/>
        <v>16.666666666666668</v>
      </c>
      <c r="P60" s="48">
        <f t="shared" si="1"/>
        <v>16.666666666666668</v>
      </c>
      <c r="Q60" s="48">
        <f t="shared" si="1"/>
        <v>16.666666666666668</v>
      </c>
      <c r="R60" s="50">
        <f t="shared" si="0"/>
        <v>199.99999999999997</v>
      </c>
      <c r="S60" t="s">
        <v>260</v>
      </c>
    </row>
    <row r="61" spans="2:21" x14ac:dyDescent="0.2">
      <c r="B61" s="49">
        <v>6560</v>
      </c>
      <c r="C61" t="s">
        <v>167</v>
      </c>
      <c r="D61" s="49" t="s">
        <v>168</v>
      </c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50">
        <f t="shared" si="0"/>
        <v>0</v>
      </c>
    </row>
    <row r="62" spans="2:21" x14ac:dyDescent="0.2">
      <c r="B62" s="49">
        <v>6570</v>
      </c>
      <c r="C62" t="s">
        <v>169</v>
      </c>
      <c r="D62" s="49" t="s">
        <v>170</v>
      </c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50">
        <f t="shared" si="0"/>
        <v>0</v>
      </c>
    </row>
    <row r="63" spans="2:21" x14ac:dyDescent="0.2">
      <c r="B63" s="49">
        <v>6580</v>
      </c>
      <c r="C63" t="s">
        <v>172</v>
      </c>
      <c r="D63" s="49" t="s">
        <v>173</v>
      </c>
      <c r="F63" s="48">
        <v>8</v>
      </c>
      <c r="G63" s="48">
        <v>8</v>
      </c>
      <c r="H63" s="48">
        <v>8</v>
      </c>
      <c r="I63" s="48">
        <v>8</v>
      </c>
      <c r="J63" s="48">
        <v>8</v>
      </c>
      <c r="K63" s="48">
        <v>8</v>
      </c>
      <c r="L63" s="48">
        <v>8</v>
      </c>
      <c r="M63" s="48">
        <v>8</v>
      </c>
      <c r="N63" s="48">
        <v>8</v>
      </c>
      <c r="O63" s="48">
        <v>8</v>
      </c>
      <c r="P63" s="48">
        <v>8</v>
      </c>
      <c r="Q63" s="48">
        <v>8</v>
      </c>
      <c r="R63" s="50">
        <f t="shared" si="0"/>
        <v>96</v>
      </c>
    </row>
    <row r="64" spans="2:21" x14ac:dyDescent="0.2">
      <c r="B64" s="49">
        <v>6590</v>
      </c>
      <c r="C64" t="s">
        <v>174</v>
      </c>
      <c r="D64" s="49" t="s">
        <v>175</v>
      </c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50">
        <f t="shared" si="0"/>
        <v>0</v>
      </c>
    </row>
    <row r="65" spans="2:19" x14ac:dyDescent="0.2">
      <c r="B65" s="49">
        <v>6920</v>
      </c>
      <c r="C65" t="s">
        <v>176</v>
      </c>
      <c r="D65" s="49" t="s">
        <v>177</v>
      </c>
      <c r="F65" s="48">
        <f>350/12</f>
        <v>29.166666666666668</v>
      </c>
      <c r="G65" s="48">
        <f t="shared" ref="G65:Q65" si="2">350/12</f>
        <v>29.166666666666668</v>
      </c>
      <c r="H65" s="48">
        <f t="shared" si="2"/>
        <v>29.166666666666668</v>
      </c>
      <c r="I65" s="48">
        <f t="shared" si="2"/>
        <v>29.166666666666668</v>
      </c>
      <c r="J65" s="48">
        <f t="shared" si="2"/>
        <v>29.166666666666668</v>
      </c>
      <c r="K65" s="48">
        <f t="shared" si="2"/>
        <v>29.166666666666668</v>
      </c>
      <c r="L65" s="48">
        <f t="shared" si="2"/>
        <v>29.166666666666668</v>
      </c>
      <c r="M65" s="48">
        <f t="shared" si="2"/>
        <v>29.166666666666668</v>
      </c>
      <c r="N65" s="48">
        <f t="shared" si="2"/>
        <v>29.166666666666668</v>
      </c>
      <c r="O65" s="48">
        <f t="shared" si="2"/>
        <v>29.166666666666668</v>
      </c>
      <c r="P65" s="48">
        <f t="shared" si="2"/>
        <v>29.166666666666668</v>
      </c>
      <c r="Q65" s="48">
        <f t="shared" si="2"/>
        <v>29.166666666666668</v>
      </c>
      <c r="R65" s="50">
        <f t="shared" si="0"/>
        <v>350.00000000000006</v>
      </c>
    </row>
    <row r="66" spans="2:19" x14ac:dyDescent="0.2">
      <c r="B66" s="49">
        <v>6940</v>
      </c>
      <c r="C66" t="s">
        <v>179</v>
      </c>
      <c r="D66" s="49" t="s">
        <v>180</v>
      </c>
      <c r="F66" s="48">
        <f>50/6</f>
        <v>8.3333333333333339</v>
      </c>
      <c r="H66" s="48">
        <f t="shared" ref="H66:P66" si="3">50/6</f>
        <v>8.3333333333333339</v>
      </c>
      <c r="J66" s="48">
        <f t="shared" si="3"/>
        <v>8.3333333333333339</v>
      </c>
      <c r="L66" s="48">
        <f t="shared" si="3"/>
        <v>8.3333333333333339</v>
      </c>
      <c r="N66" s="48">
        <f t="shared" si="3"/>
        <v>8.3333333333333339</v>
      </c>
      <c r="O66" s="48"/>
      <c r="P66" s="48">
        <f t="shared" si="3"/>
        <v>8.3333333333333339</v>
      </c>
      <c r="R66" s="50">
        <f>SUM(F66:Q66)</f>
        <v>50.000000000000007</v>
      </c>
      <c r="S66" t="s">
        <v>261</v>
      </c>
    </row>
    <row r="67" spans="2:19" x14ac:dyDescent="0.2">
      <c r="B67" s="49">
        <v>6950</v>
      </c>
      <c r="C67" t="s">
        <v>181</v>
      </c>
      <c r="D67" s="49" t="str">
        <f>B67 &amp; C67</f>
        <v>6950Tillsynsavgifter till myndigheter</v>
      </c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50">
        <f t="shared" ref="R67:R104" si="4">SUM(F67:Q67)</f>
        <v>0</v>
      </c>
    </row>
    <row r="68" spans="2:19" x14ac:dyDescent="0.2">
      <c r="B68" s="49">
        <v>6970</v>
      </c>
      <c r="C68" t="s">
        <v>182</v>
      </c>
      <c r="D68" s="49" t="s">
        <v>183</v>
      </c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50">
        <f t="shared" si="4"/>
        <v>0</v>
      </c>
    </row>
    <row r="69" spans="2:19" x14ac:dyDescent="0.2">
      <c r="B69" s="49">
        <v>6981</v>
      </c>
      <c r="C69" t="s">
        <v>185</v>
      </c>
      <c r="D69" s="49" t="s">
        <v>186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50">
        <f t="shared" si="4"/>
        <v>0</v>
      </c>
    </row>
    <row r="70" spans="2:19" x14ac:dyDescent="0.2">
      <c r="B70" s="49">
        <v>6982</v>
      </c>
      <c r="C70" t="s">
        <v>187</v>
      </c>
      <c r="D70" s="49" t="s">
        <v>188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50">
        <f t="shared" si="4"/>
        <v>0</v>
      </c>
    </row>
    <row r="71" spans="2:19" x14ac:dyDescent="0.2">
      <c r="B71" s="49">
        <v>6991</v>
      </c>
      <c r="C71" t="s">
        <v>146</v>
      </c>
      <c r="D71" s="49" t="s">
        <v>189</v>
      </c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50">
        <f t="shared" si="4"/>
        <v>0</v>
      </c>
    </row>
    <row r="72" spans="2:19" x14ac:dyDescent="0.2">
      <c r="B72" s="49">
        <v>6992</v>
      </c>
      <c r="C72" t="s">
        <v>190</v>
      </c>
      <c r="D72" s="49" t="s">
        <v>191</v>
      </c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50">
        <f t="shared" si="4"/>
        <v>0</v>
      </c>
    </row>
    <row r="73" spans="2:19" x14ac:dyDescent="0.2">
      <c r="B73" s="49">
        <v>7010</v>
      </c>
      <c r="C73" t="s">
        <v>192</v>
      </c>
      <c r="D73" s="49" t="s">
        <v>193</v>
      </c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50">
        <f t="shared" si="4"/>
        <v>0</v>
      </c>
    </row>
    <row r="74" spans="2:19" x14ac:dyDescent="0.2">
      <c r="B74" s="49">
        <v>7019</v>
      </c>
      <c r="C74" t="s">
        <v>194</v>
      </c>
      <c r="D74" s="49" t="s">
        <v>195</v>
      </c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50">
        <f t="shared" si="4"/>
        <v>0</v>
      </c>
    </row>
    <row r="75" spans="2:19" x14ac:dyDescent="0.2">
      <c r="B75" s="49">
        <v>7090</v>
      </c>
      <c r="C75" t="s">
        <v>171</v>
      </c>
      <c r="D75" s="49" t="s">
        <v>196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50">
        <f t="shared" si="4"/>
        <v>0</v>
      </c>
    </row>
    <row r="76" spans="2:19" x14ac:dyDescent="0.2">
      <c r="B76" s="49">
        <v>7210</v>
      </c>
      <c r="C76" t="s">
        <v>197</v>
      </c>
      <c r="D76" s="49" t="s">
        <v>198</v>
      </c>
      <c r="F76" s="48">
        <v>86.1</v>
      </c>
      <c r="G76" s="48">
        <v>86.1</v>
      </c>
      <c r="H76" s="48">
        <v>86.1</v>
      </c>
      <c r="I76" s="48">
        <f>86.1*1.03</f>
        <v>88.682999999999993</v>
      </c>
      <c r="J76" s="48">
        <f t="shared" ref="J76:Q76" si="5">86.1*1.03</f>
        <v>88.682999999999993</v>
      </c>
      <c r="K76" s="48">
        <f t="shared" si="5"/>
        <v>88.682999999999993</v>
      </c>
      <c r="L76" s="48">
        <f t="shared" si="5"/>
        <v>88.682999999999993</v>
      </c>
      <c r="M76" s="48">
        <f t="shared" si="5"/>
        <v>88.682999999999993</v>
      </c>
      <c r="N76" s="48">
        <f t="shared" si="5"/>
        <v>88.682999999999993</v>
      </c>
      <c r="O76" s="48">
        <f t="shared" si="5"/>
        <v>88.682999999999993</v>
      </c>
      <c r="P76" s="48">
        <f t="shared" si="5"/>
        <v>88.682999999999993</v>
      </c>
      <c r="Q76" s="48">
        <f t="shared" si="5"/>
        <v>88.682999999999993</v>
      </c>
      <c r="R76" s="50">
        <f t="shared" si="4"/>
        <v>1056.4469999999999</v>
      </c>
    </row>
    <row r="77" spans="2:19" x14ac:dyDescent="0.2">
      <c r="B77" s="49">
        <v>7220</v>
      </c>
      <c r="C77" t="s">
        <v>159</v>
      </c>
      <c r="D77" s="49" t="s">
        <v>199</v>
      </c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50">
        <f t="shared" si="4"/>
        <v>0</v>
      </c>
    </row>
    <row r="78" spans="2:19" x14ac:dyDescent="0.2">
      <c r="B78" s="49">
        <v>7280</v>
      </c>
      <c r="C78" t="s">
        <v>200</v>
      </c>
      <c r="D78" s="49" t="s">
        <v>201</v>
      </c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50">
        <f t="shared" si="4"/>
        <v>0</v>
      </c>
    </row>
    <row r="79" spans="2:19" x14ac:dyDescent="0.2">
      <c r="B79" s="49">
        <v>7282</v>
      </c>
      <c r="C79" t="s">
        <v>202</v>
      </c>
      <c r="D79" s="49" t="s">
        <v>203</v>
      </c>
      <c r="F79" s="48">
        <f>F76*0.008</f>
        <v>0.68879999999999997</v>
      </c>
      <c r="G79" s="48">
        <f t="shared" ref="G79:Q79" si="6">G76*0.008</f>
        <v>0.68879999999999997</v>
      </c>
      <c r="H79" s="48">
        <f t="shared" si="6"/>
        <v>0.68879999999999997</v>
      </c>
      <c r="I79" s="48">
        <f t="shared" si="6"/>
        <v>0.70946399999999998</v>
      </c>
      <c r="J79" s="48">
        <f t="shared" si="6"/>
        <v>0.70946399999999998</v>
      </c>
      <c r="K79" s="48">
        <f t="shared" si="6"/>
        <v>0.70946399999999998</v>
      </c>
      <c r="L79" s="48">
        <f t="shared" si="6"/>
        <v>0.70946399999999998</v>
      </c>
      <c r="M79" s="48">
        <f t="shared" si="6"/>
        <v>0.70946399999999998</v>
      </c>
      <c r="N79" s="48">
        <f t="shared" si="6"/>
        <v>0.70946399999999998</v>
      </c>
      <c r="O79" s="48">
        <f t="shared" si="6"/>
        <v>0.70946399999999998</v>
      </c>
      <c r="P79" s="48">
        <f t="shared" si="6"/>
        <v>0.70946399999999998</v>
      </c>
      <c r="Q79" s="48">
        <f t="shared" si="6"/>
        <v>0.70946399999999998</v>
      </c>
      <c r="R79" s="50">
        <f t="shared" si="4"/>
        <v>8.4515759999999975</v>
      </c>
    </row>
    <row r="80" spans="2:19" x14ac:dyDescent="0.2">
      <c r="B80" s="49">
        <v>7290</v>
      </c>
      <c r="C80" t="s">
        <v>171</v>
      </c>
      <c r="D80" s="49" t="s">
        <v>204</v>
      </c>
      <c r="F80" s="48">
        <f>F76*0.12</f>
        <v>10.331999999999999</v>
      </c>
      <c r="G80" s="48">
        <f t="shared" ref="G80:K80" si="7">G76*0.12</f>
        <v>10.331999999999999</v>
      </c>
      <c r="H80" s="48">
        <f t="shared" si="7"/>
        <v>10.331999999999999</v>
      </c>
      <c r="I80" s="48">
        <f t="shared" si="7"/>
        <v>10.641959999999999</v>
      </c>
      <c r="J80" s="48">
        <f t="shared" si="7"/>
        <v>10.641959999999999</v>
      </c>
      <c r="K80" s="48">
        <f t="shared" si="7"/>
        <v>10.641959999999999</v>
      </c>
      <c r="L80" s="48">
        <f>-L76</f>
        <v>-88.682999999999993</v>
      </c>
      <c r="M80" s="48">
        <f t="shared" ref="M80:Q80" si="8">M76*0.12</f>
        <v>10.641959999999999</v>
      </c>
      <c r="N80" s="48">
        <f t="shared" si="8"/>
        <v>10.641959999999999</v>
      </c>
      <c r="O80" s="48">
        <f t="shared" si="8"/>
        <v>10.641959999999999</v>
      </c>
      <c r="P80" s="48">
        <f t="shared" si="8"/>
        <v>10.641959999999999</v>
      </c>
      <c r="Q80" s="48">
        <f t="shared" si="8"/>
        <v>10.641959999999999</v>
      </c>
      <c r="R80" s="50">
        <f t="shared" si="4"/>
        <v>27.448679999999989</v>
      </c>
    </row>
    <row r="81" spans="2:18" x14ac:dyDescent="0.2">
      <c r="B81" s="49">
        <v>7300</v>
      </c>
      <c r="C81" t="s">
        <v>206</v>
      </c>
      <c r="D81" s="49" t="s">
        <v>207</v>
      </c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50">
        <f t="shared" si="4"/>
        <v>0</v>
      </c>
    </row>
    <row r="82" spans="2:18" x14ac:dyDescent="0.2">
      <c r="B82" s="49">
        <v>7321</v>
      </c>
      <c r="C82" t="s">
        <v>178</v>
      </c>
      <c r="D82" s="49" t="s">
        <v>208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50">
        <f t="shared" si="4"/>
        <v>0</v>
      </c>
    </row>
    <row r="83" spans="2:18" x14ac:dyDescent="0.2">
      <c r="B83" s="49">
        <v>7323</v>
      </c>
      <c r="C83" t="s">
        <v>184</v>
      </c>
      <c r="D83" s="49" t="s">
        <v>209</v>
      </c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50">
        <f t="shared" si="4"/>
        <v>0</v>
      </c>
    </row>
    <row r="84" spans="2:18" x14ac:dyDescent="0.2">
      <c r="B84" s="49">
        <v>7331</v>
      </c>
      <c r="C84" t="s">
        <v>210</v>
      </c>
      <c r="D84" s="49" t="s">
        <v>211</v>
      </c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50">
        <f t="shared" si="4"/>
        <v>0</v>
      </c>
    </row>
    <row r="85" spans="2:18" x14ac:dyDescent="0.2">
      <c r="B85" s="49">
        <v>7332</v>
      </c>
      <c r="C85" t="s">
        <v>212</v>
      </c>
      <c r="D85" s="49" t="s">
        <v>213</v>
      </c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50">
        <f t="shared" si="4"/>
        <v>0</v>
      </c>
    </row>
    <row r="86" spans="2:18" x14ac:dyDescent="0.2">
      <c r="B86" s="49">
        <v>7380</v>
      </c>
      <c r="C86" t="s">
        <v>214</v>
      </c>
      <c r="D86" s="49" t="s">
        <v>215</v>
      </c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50">
        <f t="shared" si="4"/>
        <v>0</v>
      </c>
    </row>
    <row r="87" spans="2:18" x14ac:dyDescent="0.2">
      <c r="B87" s="49">
        <v>7381</v>
      </c>
      <c r="C87" t="s">
        <v>216</v>
      </c>
      <c r="D87" s="49" t="s">
        <v>217</v>
      </c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50">
        <f>SUM(F87:Q87)</f>
        <v>0</v>
      </c>
    </row>
    <row r="88" spans="2:18" x14ac:dyDescent="0.2">
      <c r="B88" s="49">
        <v>7385</v>
      </c>
      <c r="C88" t="s">
        <v>218</v>
      </c>
      <c r="D88" s="49" t="s">
        <v>219</v>
      </c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50">
        <f t="shared" si="4"/>
        <v>0</v>
      </c>
    </row>
    <row r="89" spans="2:18" x14ac:dyDescent="0.2">
      <c r="B89" s="49">
        <v>7399</v>
      </c>
      <c r="C89" t="s">
        <v>220</v>
      </c>
      <c r="D89" s="49" t="s">
        <v>221</v>
      </c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50">
        <f t="shared" ref="R89:R94" si="9">SUM(F89:Q89)</f>
        <v>0</v>
      </c>
    </row>
    <row r="90" spans="2:18" x14ac:dyDescent="0.2">
      <c r="B90" s="49">
        <v>7410</v>
      </c>
      <c r="C90" t="s">
        <v>205</v>
      </c>
      <c r="D90" s="49" t="s">
        <v>223</v>
      </c>
      <c r="F90" s="48">
        <f>F76*0.06+4</f>
        <v>9.1660000000000004</v>
      </c>
      <c r="G90" s="48">
        <f t="shared" ref="G90:Q90" si="10">G76*0.06+4</f>
        <v>9.1660000000000004</v>
      </c>
      <c r="H90" s="48">
        <f t="shared" si="10"/>
        <v>9.1660000000000004</v>
      </c>
      <c r="I90" s="48">
        <f t="shared" si="10"/>
        <v>9.3209799999999987</v>
      </c>
      <c r="J90" s="48">
        <f t="shared" si="10"/>
        <v>9.3209799999999987</v>
      </c>
      <c r="K90" s="48">
        <f t="shared" si="10"/>
        <v>9.3209799999999987</v>
      </c>
      <c r="L90" s="48">
        <f t="shared" si="10"/>
        <v>9.3209799999999987</v>
      </c>
      <c r="M90" s="48">
        <f t="shared" si="10"/>
        <v>9.3209799999999987</v>
      </c>
      <c r="N90" s="48">
        <f t="shared" si="10"/>
        <v>9.3209799999999987</v>
      </c>
      <c r="O90" s="48">
        <f t="shared" si="10"/>
        <v>9.3209799999999987</v>
      </c>
      <c r="P90" s="48">
        <f t="shared" si="10"/>
        <v>9.3209799999999987</v>
      </c>
      <c r="Q90" s="48">
        <f t="shared" si="10"/>
        <v>9.3209799999999987</v>
      </c>
      <c r="R90" s="50">
        <f t="shared" si="9"/>
        <v>111.38681999999994</v>
      </c>
    </row>
    <row r="91" spans="2:18" x14ac:dyDescent="0.2">
      <c r="B91" s="49">
        <v>7420</v>
      </c>
      <c r="C91" t="s">
        <v>224</v>
      </c>
      <c r="D91" s="49" t="s">
        <v>225</v>
      </c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50">
        <f t="shared" si="9"/>
        <v>0</v>
      </c>
    </row>
    <row r="92" spans="2:18" x14ac:dyDescent="0.2">
      <c r="B92" s="49">
        <v>7460</v>
      </c>
      <c r="C92" t="s">
        <v>226</v>
      </c>
      <c r="D92" s="49" t="s">
        <v>227</v>
      </c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50">
        <f t="shared" si="9"/>
        <v>0</v>
      </c>
    </row>
    <row r="93" spans="2:18" x14ac:dyDescent="0.2">
      <c r="B93" s="49">
        <v>7510</v>
      </c>
      <c r="C93" t="s">
        <v>229</v>
      </c>
      <c r="D93" s="49" t="s">
        <v>230</v>
      </c>
      <c r="F93" s="48">
        <f>0.3142*F76</f>
        <v>27.052619999999997</v>
      </c>
      <c r="G93" s="48">
        <f t="shared" ref="G93:Q93" si="11">0.3142*G76</f>
        <v>27.052619999999997</v>
      </c>
      <c r="H93" s="48">
        <f t="shared" si="11"/>
        <v>27.052619999999997</v>
      </c>
      <c r="I93" s="48">
        <f t="shared" si="11"/>
        <v>27.864198599999995</v>
      </c>
      <c r="J93" s="48">
        <f t="shared" si="11"/>
        <v>27.864198599999995</v>
      </c>
      <c r="K93" s="48">
        <f t="shared" si="11"/>
        <v>27.864198599999995</v>
      </c>
      <c r="L93" s="48">
        <f>0.3142*L76</f>
        <v>27.864198599999995</v>
      </c>
      <c r="M93" s="48">
        <f t="shared" si="11"/>
        <v>27.864198599999995</v>
      </c>
      <c r="N93" s="48">
        <f t="shared" si="11"/>
        <v>27.864198599999995</v>
      </c>
      <c r="O93" s="48">
        <f t="shared" si="11"/>
        <v>27.864198599999995</v>
      </c>
      <c r="P93" s="48">
        <f t="shared" si="11"/>
        <v>27.864198599999995</v>
      </c>
      <c r="Q93" s="48">
        <f t="shared" si="11"/>
        <v>27.864198599999995</v>
      </c>
      <c r="R93" s="50">
        <f t="shared" si="9"/>
        <v>331.93564740000005</v>
      </c>
    </row>
    <row r="94" spans="2:18" x14ac:dyDescent="0.2">
      <c r="B94" s="49">
        <v>7519</v>
      </c>
      <c r="C94" t="s">
        <v>231</v>
      </c>
      <c r="D94" s="49" t="s">
        <v>232</v>
      </c>
      <c r="F94" s="48">
        <f>0.3142*(F80+F79)</f>
        <v>3.4627353599999995</v>
      </c>
      <c r="G94" s="48">
        <f t="shared" ref="G94:Q94" si="12">0.3142*(G80+G79)</f>
        <v>3.4627353599999995</v>
      </c>
      <c r="H94" s="48">
        <f t="shared" si="12"/>
        <v>3.4627353599999995</v>
      </c>
      <c r="I94" s="48">
        <f t="shared" si="12"/>
        <v>3.5666174207999997</v>
      </c>
      <c r="J94" s="48">
        <f t="shared" si="12"/>
        <v>3.5666174207999997</v>
      </c>
      <c r="K94" s="48">
        <f t="shared" si="12"/>
        <v>3.5666174207999997</v>
      </c>
      <c r="L94" s="48">
        <f>0.3142*(L80+L79)</f>
        <v>-27.641285011199997</v>
      </c>
      <c r="M94" s="48">
        <f t="shared" si="12"/>
        <v>3.5666174207999997</v>
      </c>
      <c r="N94" s="48">
        <f t="shared" si="12"/>
        <v>3.5666174207999997</v>
      </c>
      <c r="O94" s="48">
        <f t="shared" si="12"/>
        <v>3.5666174207999997</v>
      </c>
      <c r="P94" s="48">
        <f t="shared" si="12"/>
        <v>3.5666174207999997</v>
      </c>
      <c r="Q94" s="48">
        <f t="shared" si="12"/>
        <v>3.5666174207999997</v>
      </c>
      <c r="R94" s="50">
        <f t="shared" si="9"/>
        <v>11.279860435199998</v>
      </c>
    </row>
    <row r="95" spans="2:18" x14ac:dyDescent="0.2">
      <c r="B95" s="49">
        <v>7530</v>
      </c>
      <c r="C95" t="s">
        <v>222</v>
      </c>
      <c r="D95" s="49" t="s">
        <v>233</v>
      </c>
      <c r="F95" s="48">
        <f>F90*0.2426</f>
        <v>2.2236716000000003</v>
      </c>
      <c r="G95" s="48">
        <f t="shared" ref="G95:Q95" si="13">G90*0.2426</f>
        <v>2.2236716000000003</v>
      </c>
      <c r="H95" s="48">
        <f t="shared" si="13"/>
        <v>2.2236716000000003</v>
      </c>
      <c r="I95" s="48">
        <f t="shared" si="13"/>
        <v>2.2612697479999997</v>
      </c>
      <c r="J95" s="48">
        <f t="shared" si="13"/>
        <v>2.2612697479999997</v>
      </c>
      <c r="K95" s="48">
        <f t="shared" si="13"/>
        <v>2.2612697479999997</v>
      </c>
      <c r="L95" s="48">
        <f t="shared" si="13"/>
        <v>2.2612697479999997</v>
      </c>
      <c r="M95" s="48">
        <f t="shared" si="13"/>
        <v>2.2612697479999997</v>
      </c>
      <c r="N95" s="48">
        <f t="shared" si="13"/>
        <v>2.2612697479999997</v>
      </c>
      <c r="O95" s="48">
        <f t="shared" si="13"/>
        <v>2.2612697479999997</v>
      </c>
      <c r="P95" s="48">
        <f t="shared" si="13"/>
        <v>2.2612697479999997</v>
      </c>
      <c r="Q95" s="48">
        <f t="shared" si="13"/>
        <v>2.2612697479999997</v>
      </c>
      <c r="R95" s="50">
        <f t="shared" si="4"/>
        <v>27.022442531999999</v>
      </c>
    </row>
    <row r="96" spans="2:18" x14ac:dyDescent="0.2">
      <c r="B96" s="49">
        <v>7570</v>
      </c>
      <c r="C96" t="s">
        <v>228</v>
      </c>
      <c r="D96" s="49" t="s">
        <v>234</v>
      </c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50">
        <f t="shared" si="4"/>
        <v>0</v>
      </c>
    </row>
    <row r="97" spans="2:18" x14ac:dyDescent="0.2">
      <c r="B97" s="49">
        <v>7610</v>
      </c>
      <c r="C97" t="s">
        <v>235</v>
      </c>
      <c r="D97" s="49" t="s">
        <v>236</v>
      </c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50">
        <f t="shared" si="4"/>
        <v>0</v>
      </c>
    </row>
    <row r="98" spans="2:18" x14ac:dyDescent="0.2">
      <c r="B98" s="49">
        <v>7620</v>
      </c>
      <c r="C98" t="s">
        <v>237</v>
      </c>
      <c r="D98" s="49" t="s">
        <v>238</v>
      </c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50">
        <f t="shared" si="4"/>
        <v>0</v>
      </c>
    </row>
    <row r="99" spans="2:18" x14ac:dyDescent="0.2">
      <c r="B99" s="49">
        <v>7621</v>
      </c>
      <c r="C99" t="s">
        <v>239</v>
      </c>
      <c r="D99" s="49" t="s">
        <v>240</v>
      </c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50">
        <f t="shared" si="4"/>
        <v>0</v>
      </c>
    </row>
    <row r="100" spans="2:18" x14ac:dyDescent="0.2">
      <c r="B100" s="49">
        <v>7622</v>
      </c>
      <c r="C100" t="s">
        <v>241</v>
      </c>
      <c r="D100" s="49" t="s">
        <v>242</v>
      </c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50">
        <f t="shared" si="4"/>
        <v>0</v>
      </c>
    </row>
    <row r="101" spans="2:18" x14ac:dyDescent="0.2">
      <c r="B101" s="49">
        <v>7631</v>
      </c>
      <c r="C101" t="s">
        <v>243</v>
      </c>
      <c r="D101" s="49" t="s">
        <v>244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50">
        <f t="shared" si="4"/>
        <v>0</v>
      </c>
    </row>
    <row r="102" spans="2:18" x14ac:dyDescent="0.2">
      <c r="B102" s="49">
        <v>7632</v>
      </c>
      <c r="C102" t="s">
        <v>245</v>
      </c>
      <c r="D102" s="49" t="s">
        <v>246</v>
      </c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50">
        <f t="shared" si="4"/>
        <v>0</v>
      </c>
    </row>
    <row r="103" spans="2:18" x14ac:dyDescent="0.2">
      <c r="B103" s="49">
        <v>7690</v>
      </c>
      <c r="C103" t="s">
        <v>247</v>
      </c>
      <c r="D103" s="49" t="s">
        <v>248</v>
      </c>
      <c r="F103" s="48">
        <f>89/12</f>
        <v>7.416666666666667</v>
      </c>
      <c r="G103" s="48">
        <f t="shared" ref="G103:Q103" si="14">89/12</f>
        <v>7.416666666666667</v>
      </c>
      <c r="H103" s="48">
        <f t="shared" si="14"/>
        <v>7.416666666666667</v>
      </c>
      <c r="I103" s="48">
        <f t="shared" si="14"/>
        <v>7.416666666666667</v>
      </c>
      <c r="J103" s="48">
        <f t="shared" si="14"/>
        <v>7.416666666666667</v>
      </c>
      <c r="K103" s="48">
        <f t="shared" si="14"/>
        <v>7.416666666666667</v>
      </c>
      <c r="L103" s="48">
        <f t="shared" si="14"/>
        <v>7.416666666666667</v>
      </c>
      <c r="M103" s="48">
        <f t="shared" si="14"/>
        <v>7.416666666666667</v>
      </c>
      <c r="N103" s="48">
        <f t="shared" si="14"/>
        <v>7.416666666666667</v>
      </c>
      <c r="O103" s="48">
        <f t="shared" si="14"/>
        <v>7.416666666666667</v>
      </c>
      <c r="P103" s="48">
        <f t="shared" si="14"/>
        <v>7.416666666666667</v>
      </c>
      <c r="Q103" s="48">
        <f t="shared" si="14"/>
        <v>7.416666666666667</v>
      </c>
      <c r="R103" s="50">
        <f t="shared" si="4"/>
        <v>89.000000000000014</v>
      </c>
    </row>
    <row r="104" spans="2:18" x14ac:dyDescent="0.2">
      <c r="B104" s="49">
        <v>7691</v>
      </c>
      <c r="C104" t="s">
        <v>249</v>
      </c>
      <c r="D104" s="49" t="s">
        <v>250</v>
      </c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50">
        <f t="shared" si="4"/>
        <v>0</v>
      </c>
    </row>
    <row r="105" spans="2:18" x14ac:dyDescent="0.2">
      <c r="B105" s="49">
        <v>7692</v>
      </c>
      <c r="C105" t="s">
        <v>251</v>
      </c>
      <c r="D105" s="49" t="s">
        <v>252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50"/>
    </row>
    <row r="106" spans="2:18" x14ac:dyDescent="0.2">
      <c r="F106" s="53">
        <f>SUM(F2:F104)</f>
        <v>239.60916029333328</v>
      </c>
      <c r="G106" s="53">
        <f t="shared" ref="G106:R106" si="15">SUM(G2:G104)</f>
        <v>231.27582695999996</v>
      </c>
      <c r="H106" s="53">
        <f t="shared" si="15"/>
        <v>239.60916029333328</v>
      </c>
      <c r="I106" s="53">
        <f t="shared" si="15"/>
        <v>235.29748976879998</v>
      </c>
      <c r="J106" s="53">
        <f t="shared" si="15"/>
        <v>243.63082310213329</v>
      </c>
      <c r="K106" s="53">
        <f t="shared" si="15"/>
        <v>235.29748976879998</v>
      </c>
      <c r="L106" s="53">
        <f t="shared" si="15"/>
        <v>113.09796067013336</v>
      </c>
      <c r="M106" s="53">
        <f t="shared" si="15"/>
        <v>235.29748976879998</v>
      </c>
      <c r="N106" s="53">
        <f t="shared" si="15"/>
        <v>243.63082310213329</v>
      </c>
      <c r="O106" s="53">
        <f t="shared" si="15"/>
        <v>235.29748976879998</v>
      </c>
      <c r="P106" s="53">
        <f t="shared" si="15"/>
        <v>243.63082310213329</v>
      </c>
      <c r="Q106" s="53">
        <f t="shared" si="15"/>
        <v>235.29748976879998</v>
      </c>
      <c r="R106" s="53">
        <f t="shared" si="15"/>
        <v>2730.9720263671998</v>
      </c>
    </row>
    <row r="108" spans="2:18" x14ac:dyDescent="0.2">
      <c r="E108" t="s">
        <v>253</v>
      </c>
      <c r="F108" s="28">
        <f>SUM(F2:F72)</f>
        <v>93.166666666666671</v>
      </c>
      <c r="G108" s="28">
        <f t="shared" ref="G108:R108" si="16">SUM(G2:G71)</f>
        <v>84.833333333333343</v>
      </c>
      <c r="H108" s="28">
        <f t="shared" si="16"/>
        <v>93.166666666666671</v>
      </c>
      <c r="I108" s="28">
        <f t="shared" si="16"/>
        <v>84.833333333333343</v>
      </c>
      <c r="J108" s="28">
        <f t="shared" si="16"/>
        <v>93.166666666666671</v>
      </c>
      <c r="K108" s="28">
        <f t="shared" si="16"/>
        <v>84.833333333333343</v>
      </c>
      <c r="L108" s="28">
        <f t="shared" si="16"/>
        <v>93.166666666666671</v>
      </c>
      <c r="M108" s="28">
        <f t="shared" si="16"/>
        <v>84.833333333333343</v>
      </c>
      <c r="N108" s="28">
        <f t="shared" si="16"/>
        <v>93.166666666666671</v>
      </c>
      <c r="O108" s="28">
        <f t="shared" si="16"/>
        <v>84.833333333333343</v>
      </c>
      <c r="P108" s="28">
        <f t="shared" si="16"/>
        <v>93.166666666666671</v>
      </c>
      <c r="Q108" s="28">
        <f t="shared" si="16"/>
        <v>84.833333333333343</v>
      </c>
      <c r="R108" s="28">
        <f t="shared" si="16"/>
        <v>1068</v>
      </c>
    </row>
    <row r="109" spans="2:18" x14ac:dyDescent="0.2">
      <c r="E109" t="s">
        <v>254</v>
      </c>
      <c r="F109">
        <f>SUM(F73:F104)</f>
        <v>146.44249362666665</v>
      </c>
      <c r="G109">
        <f t="shared" ref="G109:R109" si="17">SUM(G72:G104)</f>
        <v>146.44249362666665</v>
      </c>
      <c r="H109">
        <f t="shared" si="17"/>
        <v>146.44249362666665</v>
      </c>
      <c r="I109">
        <f t="shared" si="17"/>
        <v>150.46415643546661</v>
      </c>
      <c r="J109">
        <f t="shared" si="17"/>
        <v>150.46415643546661</v>
      </c>
      <c r="K109">
        <f t="shared" si="17"/>
        <v>150.46415643546661</v>
      </c>
      <c r="L109">
        <f t="shared" si="17"/>
        <v>19.931294003466661</v>
      </c>
      <c r="M109">
        <f t="shared" si="17"/>
        <v>150.46415643546661</v>
      </c>
      <c r="N109">
        <f t="shared" si="17"/>
        <v>150.46415643546661</v>
      </c>
      <c r="O109">
        <f t="shared" si="17"/>
        <v>150.46415643546661</v>
      </c>
      <c r="P109">
        <f t="shared" si="17"/>
        <v>150.46415643546661</v>
      </c>
      <c r="Q109">
        <f t="shared" si="17"/>
        <v>150.46415643546661</v>
      </c>
      <c r="R109">
        <f t="shared" si="17"/>
        <v>1662.9720263671998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9625-B1F5-45B9-9BC6-AD645777BCCA}">
  <sheetPr>
    <tabColor rgb="FF92D050"/>
  </sheetPr>
  <dimension ref="B1:S109"/>
  <sheetViews>
    <sheetView workbookViewId="0">
      <selection activeCell="S1" sqref="A1:S1048576"/>
    </sheetView>
  </sheetViews>
  <sheetFormatPr defaultRowHeight="15" x14ac:dyDescent="0.2"/>
  <cols>
    <col min="1" max="1" width="10.35546875" bestFit="1" customWidth="1"/>
    <col min="2" max="2" width="6.3203125" bestFit="1" customWidth="1"/>
    <col min="3" max="3" width="49.234375" bestFit="1" customWidth="1"/>
    <col min="4" max="4" width="53.80859375" bestFit="1" customWidth="1"/>
    <col min="5" max="5" width="8.7421875" bestFit="1" customWidth="1"/>
    <col min="6" max="17" width="8.875" customWidth="1"/>
    <col min="18" max="18" width="11.703125" bestFit="1" customWidth="1"/>
    <col min="19" max="39" width="10.35546875" bestFit="1" customWidth="1"/>
    <col min="40" max="40" width="10.76171875" bestFit="1" customWidth="1"/>
    <col min="41" max="42" width="10.35546875" bestFit="1" customWidth="1"/>
    <col min="43" max="43" width="10.76171875" bestFit="1" customWidth="1"/>
    <col min="44" max="55" width="10.35546875" bestFit="1" customWidth="1"/>
    <col min="56" max="56" width="11.97265625" bestFit="1" customWidth="1"/>
  </cols>
  <sheetData>
    <row r="1" spans="2:19" x14ac:dyDescent="0.2">
      <c r="B1" t="s">
        <v>40</v>
      </c>
      <c r="C1" t="s">
        <v>41</v>
      </c>
      <c r="D1" t="s">
        <v>42</v>
      </c>
      <c r="F1" s="48">
        <v>2601</v>
      </c>
      <c r="G1" s="48">
        <v>2602</v>
      </c>
      <c r="H1" s="48">
        <v>2603</v>
      </c>
      <c r="I1" s="48">
        <v>2604</v>
      </c>
      <c r="J1" s="48">
        <v>2605</v>
      </c>
      <c r="K1" s="48">
        <v>2606</v>
      </c>
      <c r="L1" s="48">
        <v>2607</v>
      </c>
      <c r="M1" s="48">
        <v>2608</v>
      </c>
      <c r="N1" s="48">
        <v>2609</v>
      </c>
      <c r="O1" s="48">
        <v>2610</v>
      </c>
      <c r="P1" s="48">
        <v>2611</v>
      </c>
      <c r="Q1" s="48">
        <v>2612</v>
      </c>
      <c r="R1" s="48" t="s">
        <v>43</v>
      </c>
    </row>
    <row r="2" spans="2:19" x14ac:dyDescent="0.2">
      <c r="B2" s="49">
        <v>5010</v>
      </c>
      <c r="C2" t="s">
        <v>44</v>
      </c>
      <c r="D2" s="49" t="s">
        <v>45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>
        <f>SUM(F2:Q2)</f>
        <v>0</v>
      </c>
    </row>
    <row r="3" spans="2:19" x14ac:dyDescent="0.2">
      <c r="B3" s="49">
        <v>5020</v>
      </c>
      <c r="C3" t="s">
        <v>46</v>
      </c>
      <c r="D3" s="49" t="s">
        <v>47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50">
        <f t="shared" ref="R3:R66" si="0">SUM(F3:Q3)</f>
        <v>0</v>
      </c>
    </row>
    <row r="4" spans="2:19" x14ac:dyDescent="0.2">
      <c r="B4" s="49">
        <v>5030</v>
      </c>
      <c r="C4" t="s">
        <v>48</v>
      </c>
      <c r="D4" s="49" t="s">
        <v>49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50">
        <f t="shared" si="0"/>
        <v>0</v>
      </c>
    </row>
    <row r="5" spans="2:19" x14ac:dyDescent="0.2">
      <c r="B5" s="49">
        <v>5060</v>
      </c>
      <c r="C5" t="s">
        <v>50</v>
      </c>
      <c r="D5" s="49" t="s">
        <v>51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50">
        <f t="shared" si="0"/>
        <v>0</v>
      </c>
    </row>
    <row r="6" spans="2:19" x14ac:dyDescent="0.2">
      <c r="B6" s="49">
        <v>5061</v>
      </c>
      <c r="C6" t="s">
        <v>52</v>
      </c>
      <c r="D6" s="49" t="s">
        <v>53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50">
        <f t="shared" si="0"/>
        <v>0</v>
      </c>
    </row>
    <row r="7" spans="2:19" x14ac:dyDescent="0.2">
      <c r="B7" s="49">
        <v>5070</v>
      </c>
      <c r="C7" t="s">
        <v>54</v>
      </c>
      <c r="D7" s="49" t="s">
        <v>55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50">
        <f t="shared" si="0"/>
        <v>0</v>
      </c>
    </row>
    <row r="8" spans="2:19" x14ac:dyDescent="0.2">
      <c r="B8" s="49">
        <v>5071</v>
      </c>
      <c r="C8" t="s">
        <v>56</v>
      </c>
      <c r="D8" s="49" t="s">
        <v>57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50">
        <f t="shared" si="0"/>
        <v>0</v>
      </c>
    </row>
    <row r="9" spans="2:19" x14ac:dyDescent="0.2">
      <c r="B9" s="49">
        <v>5090</v>
      </c>
      <c r="C9" t="s">
        <v>58</v>
      </c>
      <c r="D9" s="49" t="s">
        <v>59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50">
        <f t="shared" si="0"/>
        <v>0</v>
      </c>
    </row>
    <row r="10" spans="2:19" x14ac:dyDescent="0.2">
      <c r="B10" s="49">
        <v>5222</v>
      </c>
      <c r="C10" t="s">
        <v>60</v>
      </c>
      <c r="D10" s="49" t="s">
        <v>61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50">
        <f t="shared" si="0"/>
        <v>0</v>
      </c>
    </row>
    <row r="11" spans="2:19" x14ac:dyDescent="0.2">
      <c r="B11" s="49">
        <v>5410</v>
      </c>
      <c r="C11" t="s">
        <v>62</v>
      </c>
      <c r="D11" s="49" t="s">
        <v>63</v>
      </c>
      <c r="F11" s="48">
        <v>2</v>
      </c>
      <c r="G11" s="48">
        <v>2</v>
      </c>
      <c r="H11" s="48">
        <v>2</v>
      </c>
      <c r="I11" s="48">
        <v>2</v>
      </c>
      <c r="J11" s="48">
        <v>2</v>
      </c>
      <c r="K11" s="48">
        <v>2</v>
      </c>
      <c r="L11" s="48">
        <v>2</v>
      </c>
      <c r="M11" s="48">
        <v>2</v>
      </c>
      <c r="N11" s="48">
        <v>2</v>
      </c>
      <c r="O11" s="48">
        <v>2</v>
      </c>
      <c r="P11" s="48">
        <v>2</v>
      </c>
      <c r="Q11" s="48">
        <v>2</v>
      </c>
      <c r="R11" s="50">
        <f t="shared" si="0"/>
        <v>24</v>
      </c>
    </row>
    <row r="12" spans="2:19" x14ac:dyDescent="0.2">
      <c r="B12" s="49">
        <v>5420</v>
      </c>
      <c r="C12" t="s">
        <v>64</v>
      </c>
      <c r="D12" s="49" t="s">
        <v>65</v>
      </c>
      <c r="F12" s="48">
        <f>250/12</f>
        <v>20.833333333333332</v>
      </c>
      <c r="G12" s="48">
        <f t="shared" ref="G12:Q12" si="1">250/12</f>
        <v>20.833333333333332</v>
      </c>
      <c r="H12" s="48">
        <f t="shared" si="1"/>
        <v>20.833333333333332</v>
      </c>
      <c r="I12" s="48">
        <f t="shared" si="1"/>
        <v>20.833333333333332</v>
      </c>
      <c r="J12" s="48">
        <f t="shared" si="1"/>
        <v>20.833333333333332</v>
      </c>
      <c r="K12" s="48">
        <f t="shared" si="1"/>
        <v>20.833333333333332</v>
      </c>
      <c r="L12" s="48">
        <f t="shared" si="1"/>
        <v>20.833333333333332</v>
      </c>
      <c r="M12" s="48">
        <f t="shared" si="1"/>
        <v>20.833333333333332</v>
      </c>
      <c r="N12" s="48">
        <f t="shared" si="1"/>
        <v>20.833333333333332</v>
      </c>
      <c r="O12" s="48">
        <f t="shared" si="1"/>
        <v>20.833333333333332</v>
      </c>
      <c r="P12" s="48">
        <f t="shared" si="1"/>
        <v>20.833333333333332</v>
      </c>
      <c r="Q12" s="48">
        <f t="shared" si="1"/>
        <v>20.833333333333332</v>
      </c>
      <c r="R12" s="50">
        <f t="shared" si="0"/>
        <v>250.00000000000003</v>
      </c>
      <c r="S12" t="s">
        <v>262</v>
      </c>
    </row>
    <row r="13" spans="2:19" x14ac:dyDescent="0.2">
      <c r="B13" s="49">
        <v>5440</v>
      </c>
      <c r="C13" t="s">
        <v>66</v>
      </c>
      <c r="D13" s="49" t="s">
        <v>67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0">
        <f t="shared" si="0"/>
        <v>0</v>
      </c>
    </row>
    <row r="14" spans="2:19" x14ac:dyDescent="0.2">
      <c r="B14" s="49">
        <v>5460</v>
      </c>
      <c r="C14" t="s">
        <v>68</v>
      </c>
      <c r="D14" s="49" t="s">
        <v>69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50">
        <f t="shared" si="0"/>
        <v>0</v>
      </c>
    </row>
    <row r="15" spans="2:19" x14ac:dyDescent="0.2">
      <c r="B15" s="49">
        <v>5462</v>
      </c>
      <c r="C15" t="s">
        <v>70</v>
      </c>
      <c r="D15" s="51" t="s">
        <v>71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0">
        <f t="shared" si="0"/>
        <v>0</v>
      </c>
    </row>
    <row r="16" spans="2:19" x14ac:dyDescent="0.2">
      <c r="B16" s="49">
        <v>5463</v>
      </c>
      <c r="C16" t="s">
        <v>72</v>
      </c>
      <c r="D16" s="51" t="s">
        <v>73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50">
        <f t="shared" si="0"/>
        <v>0</v>
      </c>
    </row>
    <row r="17" spans="2:18" x14ac:dyDescent="0.2">
      <c r="B17" s="49">
        <v>5464</v>
      </c>
      <c r="C17" t="s">
        <v>75</v>
      </c>
      <c r="D17" s="51" t="s">
        <v>76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50">
        <f t="shared" si="0"/>
        <v>0</v>
      </c>
    </row>
    <row r="18" spans="2:18" x14ac:dyDescent="0.2">
      <c r="B18" s="49">
        <v>5465</v>
      </c>
      <c r="C18" t="s">
        <v>77</v>
      </c>
      <c r="D18" s="51" t="s">
        <v>78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0">
        <f t="shared" si="0"/>
        <v>0</v>
      </c>
    </row>
    <row r="19" spans="2:18" x14ac:dyDescent="0.2">
      <c r="B19" s="49">
        <v>5466</v>
      </c>
      <c r="C19" t="s">
        <v>79</v>
      </c>
      <c r="D19" s="51" t="s">
        <v>80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50">
        <f t="shared" si="0"/>
        <v>0</v>
      </c>
    </row>
    <row r="20" spans="2:18" x14ac:dyDescent="0.2">
      <c r="B20" s="49">
        <v>5480</v>
      </c>
      <c r="C20" t="s">
        <v>74</v>
      </c>
      <c r="D20" s="49" t="s">
        <v>81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50">
        <f t="shared" si="0"/>
        <v>0</v>
      </c>
    </row>
    <row r="21" spans="2:18" x14ac:dyDescent="0.2">
      <c r="B21" s="49">
        <v>5500</v>
      </c>
      <c r="C21" t="s">
        <v>82</v>
      </c>
      <c r="D21" s="49" t="s">
        <v>83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50">
        <f t="shared" si="0"/>
        <v>0</v>
      </c>
    </row>
    <row r="22" spans="2:18" x14ac:dyDescent="0.2">
      <c r="B22" s="49">
        <v>5611</v>
      </c>
      <c r="C22" t="s">
        <v>84</v>
      </c>
      <c r="D22" s="49" t="s">
        <v>85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50">
        <f t="shared" si="0"/>
        <v>0</v>
      </c>
    </row>
    <row r="23" spans="2:18" x14ac:dyDescent="0.2">
      <c r="B23" s="49">
        <v>5612</v>
      </c>
      <c r="C23" t="s">
        <v>86</v>
      </c>
      <c r="D23" s="49" t="s">
        <v>87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50">
        <f t="shared" si="0"/>
        <v>0</v>
      </c>
    </row>
    <row r="24" spans="2:18" x14ac:dyDescent="0.2">
      <c r="B24" s="49">
        <v>5613</v>
      </c>
      <c r="C24" t="s">
        <v>88</v>
      </c>
      <c r="D24" s="49" t="s">
        <v>89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50">
        <f t="shared" si="0"/>
        <v>0</v>
      </c>
    </row>
    <row r="25" spans="2:18" x14ac:dyDescent="0.2">
      <c r="B25" s="49">
        <v>5615</v>
      </c>
      <c r="C25" t="s">
        <v>90</v>
      </c>
      <c r="D25" s="49" t="s">
        <v>91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50">
        <f t="shared" si="0"/>
        <v>0</v>
      </c>
    </row>
    <row r="26" spans="2:18" x14ac:dyDescent="0.2">
      <c r="B26" s="49">
        <v>5616</v>
      </c>
      <c r="C26" t="s">
        <v>92</v>
      </c>
      <c r="D26" s="49" t="s">
        <v>93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50">
        <f t="shared" si="0"/>
        <v>0</v>
      </c>
    </row>
    <row r="27" spans="2:18" x14ac:dyDescent="0.2">
      <c r="B27" s="49">
        <v>5619</v>
      </c>
      <c r="C27" t="s">
        <v>94</v>
      </c>
      <c r="D27" s="49" t="s">
        <v>95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50">
        <f t="shared" si="0"/>
        <v>0</v>
      </c>
    </row>
    <row r="28" spans="2:18" x14ac:dyDescent="0.2">
      <c r="B28" s="49">
        <v>5720</v>
      </c>
      <c r="C28" t="s">
        <v>96</v>
      </c>
      <c r="D28" s="49" t="s">
        <v>97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50">
        <f t="shared" si="0"/>
        <v>0</v>
      </c>
    </row>
    <row r="29" spans="2:18" x14ac:dyDescent="0.2">
      <c r="B29" s="49">
        <v>5831</v>
      </c>
      <c r="C29" t="s">
        <v>98</v>
      </c>
      <c r="D29" s="49" t="s">
        <v>99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50">
        <f t="shared" si="0"/>
        <v>0</v>
      </c>
    </row>
    <row r="30" spans="2:18" x14ac:dyDescent="0.2">
      <c r="B30" s="49">
        <v>5832</v>
      </c>
      <c r="C30" t="s">
        <v>100</v>
      </c>
      <c r="D30" s="49" t="s">
        <v>101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50">
        <f t="shared" si="0"/>
        <v>0</v>
      </c>
    </row>
    <row r="31" spans="2:18" x14ac:dyDescent="0.2">
      <c r="B31" s="49">
        <v>5890</v>
      </c>
      <c r="C31" t="s">
        <v>103</v>
      </c>
      <c r="D31" s="49" t="s">
        <v>104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50">
        <f t="shared" si="0"/>
        <v>0</v>
      </c>
    </row>
    <row r="32" spans="2:18" x14ac:dyDescent="0.2">
      <c r="B32" s="49">
        <v>5891</v>
      </c>
      <c r="C32" t="s">
        <v>106</v>
      </c>
      <c r="D32" s="51" t="s">
        <v>107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50">
        <f t="shared" si="0"/>
        <v>0</v>
      </c>
    </row>
    <row r="33" spans="2:18" x14ac:dyDescent="0.2">
      <c r="B33" s="49">
        <v>5892</v>
      </c>
      <c r="C33" t="s">
        <v>108</v>
      </c>
      <c r="D33" s="51" t="s">
        <v>109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50">
        <f t="shared" si="0"/>
        <v>0</v>
      </c>
    </row>
    <row r="34" spans="2:18" x14ac:dyDescent="0.2">
      <c r="B34" s="49">
        <v>5900</v>
      </c>
      <c r="C34" t="s">
        <v>110</v>
      </c>
      <c r="D34" s="49" t="s">
        <v>111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0">
        <f t="shared" si="0"/>
        <v>0</v>
      </c>
    </row>
    <row r="35" spans="2:18" x14ac:dyDescent="0.2">
      <c r="B35" s="49">
        <v>5930</v>
      </c>
      <c r="C35" t="s">
        <v>112</v>
      </c>
      <c r="D35" s="49" t="s">
        <v>113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0">
        <f t="shared" si="0"/>
        <v>0</v>
      </c>
    </row>
    <row r="36" spans="2:18" x14ac:dyDescent="0.2">
      <c r="B36" s="49">
        <v>5940</v>
      </c>
      <c r="C36" t="s">
        <v>114</v>
      </c>
      <c r="D36" s="49" t="s">
        <v>115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0">
        <f t="shared" si="0"/>
        <v>0</v>
      </c>
    </row>
    <row r="37" spans="2:18" x14ac:dyDescent="0.2">
      <c r="B37" s="49">
        <v>5941</v>
      </c>
      <c r="C37" t="s">
        <v>116</v>
      </c>
      <c r="D37" s="49" t="s">
        <v>117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0">
        <f t="shared" si="0"/>
        <v>0</v>
      </c>
    </row>
    <row r="38" spans="2:18" x14ac:dyDescent="0.2">
      <c r="B38" s="49">
        <v>5970</v>
      </c>
      <c r="C38" t="s">
        <v>118</v>
      </c>
      <c r="D38" s="49" t="s">
        <v>119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0">
        <f t="shared" si="0"/>
        <v>0</v>
      </c>
    </row>
    <row r="39" spans="2:18" x14ac:dyDescent="0.2">
      <c r="B39" s="49">
        <v>5980</v>
      </c>
      <c r="C39" t="s">
        <v>120</v>
      </c>
      <c r="D39" s="49" t="s">
        <v>121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0">
        <f t="shared" si="0"/>
        <v>0</v>
      </c>
    </row>
    <row r="40" spans="2:18" x14ac:dyDescent="0.2">
      <c r="B40" s="49">
        <v>5990</v>
      </c>
      <c r="C40" t="s">
        <v>122</v>
      </c>
      <c r="D40" s="49" t="s">
        <v>123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0">
        <f t="shared" si="0"/>
        <v>0</v>
      </c>
    </row>
    <row r="41" spans="2:18" x14ac:dyDescent="0.2">
      <c r="B41" s="49">
        <v>6071</v>
      </c>
      <c r="C41" t="s">
        <v>124</v>
      </c>
      <c r="D41" s="49" t="s">
        <v>125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0">
        <f t="shared" si="0"/>
        <v>0</v>
      </c>
    </row>
    <row r="42" spans="2:18" x14ac:dyDescent="0.2">
      <c r="B42" s="49">
        <v>6072</v>
      </c>
      <c r="C42" t="s">
        <v>127</v>
      </c>
      <c r="D42" s="49" t="s">
        <v>128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0">
        <f t="shared" si="0"/>
        <v>0</v>
      </c>
    </row>
    <row r="43" spans="2:18" x14ac:dyDescent="0.2">
      <c r="B43" s="49">
        <v>6090</v>
      </c>
      <c r="C43" t="s">
        <v>129</v>
      </c>
      <c r="D43" s="49" t="s">
        <v>130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50">
        <f t="shared" si="0"/>
        <v>0</v>
      </c>
    </row>
    <row r="44" spans="2:18" x14ac:dyDescent="0.2">
      <c r="B44" s="49">
        <v>6091</v>
      </c>
      <c r="C44" t="s">
        <v>131</v>
      </c>
      <c r="D44" s="51" t="s">
        <v>132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50">
        <f t="shared" si="0"/>
        <v>0</v>
      </c>
    </row>
    <row r="45" spans="2:18" x14ac:dyDescent="0.2">
      <c r="B45" s="49">
        <v>6092</v>
      </c>
      <c r="C45" t="s">
        <v>133</v>
      </c>
      <c r="D45" s="51" t="s">
        <v>134</v>
      </c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50">
        <f t="shared" si="0"/>
        <v>0</v>
      </c>
    </row>
    <row r="46" spans="2:18" x14ac:dyDescent="0.2">
      <c r="B46" s="49">
        <v>6093</v>
      </c>
      <c r="C46" t="s">
        <v>135</v>
      </c>
      <c r="D46" s="51" t="s">
        <v>136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50">
        <f t="shared" si="0"/>
        <v>0</v>
      </c>
    </row>
    <row r="47" spans="2:18" x14ac:dyDescent="0.2">
      <c r="B47" s="49">
        <v>6110</v>
      </c>
      <c r="C47" t="s">
        <v>138</v>
      </c>
      <c r="D47" s="49" t="s">
        <v>139</v>
      </c>
      <c r="F47" s="48">
        <f>25/12</f>
        <v>2.0833333333333335</v>
      </c>
      <c r="G47" s="48">
        <f t="shared" ref="G47:Q47" si="2">25/12</f>
        <v>2.0833333333333335</v>
      </c>
      <c r="H47" s="48">
        <f t="shared" si="2"/>
        <v>2.0833333333333335</v>
      </c>
      <c r="I47" s="48">
        <f t="shared" si="2"/>
        <v>2.0833333333333335</v>
      </c>
      <c r="J47" s="48">
        <f t="shared" si="2"/>
        <v>2.0833333333333335</v>
      </c>
      <c r="K47" s="48">
        <f t="shared" si="2"/>
        <v>2.0833333333333335</v>
      </c>
      <c r="L47" s="48">
        <f t="shared" si="2"/>
        <v>2.0833333333333335</v>
      </c>
      <c r="M47" s="48">
        <f t="shared" si="2"/>
        <v>2.0833333333333335</v>
      </c>
      <c r="N47" s="48">
        <f t="shared" si="2"/>
        <v>2.0833333333333335</v>
      </c>
      <c r="O47" s="48">
        <f t="shared" si="2"/>
        <v>2.0833333333333335</v>
      </c>
      <c r="P47" s="48">
        <f t="shared" si="2"/>
        <v>2.0833333333333335</v>
      </c>
      <c r="Q47" s="48">
        <f t="shared" si="2"/>
        <v>2.0833333333333335</v>
      </c>
      <c r="R47" s="50">
        <f t="shared" si="0"/>
        <v>24.999999999999996</v>
      </c>
    </row>
    <row r="48" spans="2:18" x14ac:dyDescent="0.2">
      <c r="B48" s="49">
        <v>6211</v>
      </c>
      <c r="C48" t="s">
        <v>140</v>
      </c>
      <c r="D48" s="49" t="s">
        <v>141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50">
        <f t="shared" si="0"/>
        <v>0</v>
      </c>
    </row>
    <row r="49" spans="2:19" x14ac:dyDescent="0.2">
      <c r="B49" s="49">
        <v>6212</v>
      </c>
      <c r="C49" t="s">
        <v>142</v>
      </c>
      <c r="D49" s="49" t="s">
        <v>143</v>
      </c>
      <c r="F49" s="48">
        <v>5</v>
      </c>
      <c r="G49" s="48">
        <v>5</v>
      </c>
      <c r="H49" s="48">
        <v>5</v>
      </c>
      <c r="I49" s="48">
        <v>5</v>
      </c>
      <c r="J49" s="48">
        <v>5</v>
      </c>
      <c r="K49" s="48">
        <v>5</v>
      </c>
      <c r="L49" s="48">
        <v>5</v>
      </c>
      <c r="M49" s="48">
        <v>5</v>
      </c>
      <c r="N49" s="48">
        <v>5</v>
      </c>
      <c r="O49" s="48">
        <v>5</v>
      </c>
      <c r="P49" s="48">
        <v>5</v>
      </c>
      <c r="Q49" s="48">
        <v>5</v>
      </c>
      <c r="R49" s="50">
        <f t="shared" si="0"/>
        <v>60</v>
      </c>
    </row>
    <row r="50" spans="2:19" x14ac:dyDescent="0.2">
      <c r="B50" s="49">
        <v>6213</v>
      </c>
      <c r="C50" t="s">
        <v>144</v>
      </c>
      <c r="D50" s="49" t="s">
        <v>145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50">
        <f t="shared" si="0"/>
        <v>0</v>
      </c>
    </row>
    <row r="51" spans="2:19" x14ac:dyDescent="0.2">
      <c r="B51" s="49">
        <v>6230</v>
      </c>
      <c r="C51" t="s">
        <v>147</v>
      </c>
      <c r="D51" s="49" t="s">
        <v>148</v>
      </c>
      <c r="F51" s="48">
        <f>79/12</f>
        <v>6.583333333333333</v>
      </c>
      <c r="G51" s="48">
        <f t="shared" ref="G51:Q51" si="3">79/12</f>
        <v>6.583333333333333</v>
      </c>
      <c r="H51" s="48">
        <f t="shared" si="3"/>
        <v>6.583333333333333</v>
      </c>
      <c r="I51" s="48">
        <f t="shared" si="3"/>
        <v>6.583333333333333</v>
      </c>
      <c r="J51" s="48">
        <f t="shared" si="3"/>
        <v>6.583333333333333</v>
      </c>
      <c r="K51" s="48">
        <f t="shared" si="3"/>
        <v>6.583333333333333</v>
      </c>
      <c r="L51" s="48">
        <f t="shared" si="3"/>
        <v>6.583333333333333</v>
      </c>
      <c r="M51" s="48">
        <f t="shared" si="3"/>
        <v>6.583333333333333</v>
      </c>
      <c r="N51" s="48">
        <f t="shared" si="3"/>
        <v>6.583333333333333</v>
      </c>
      <c r="O51" s="48">
        <f t="shared" si="3"/>
        <v>6.583333333333333</v>
      </c>
      <c r="P51" s="48">
        <f t="shared" si="3"/>
        <v>6.583333333333333</v>
      </c>
      <c r="Q51" s="48">
        <f t="shared" si="3"/>
        <v>6.583333333333333</v>
      </c>
      <c r="R51" s="50">
        <f t="shared" si="0"/>
        <v>79</v>
      </c>
    </row>
    <row r="52" spans="2:19" x14ac:dyDescent="0.2">
      <c r="B52" s="49">
        <v>6250</v>
      </c>
      <c r="C52" t="s">
        <v>149</v>
      </c>
      <c r="D52" s="49" t="s">
        <v>150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50">
        <f t="shared" si="0"/>
        <v>0</v>
      </c>
    </row>
    <row r="53" spans="2:19" x14ac:dyDescent="0.2">
      <c r="B53" s="49">
        <v>6310</v>
      </c>
      <c r="C53" t="s">
        <v>151</v>
      </c>
      <c r="D53" s="49" t="s">
        <v>152</v>
      </c>
      <c r="F53" s="48">
        <f>62/12</f>
        <v>5.166666666666667</v>
      </c>
      <c r="G53" s="48">
        <f t="shared" ref="G53:Q53" si="4">62/12</f>
        <v>5.166666666666667</v>
      </c>
      <c r="H53" s="48">
        <f t="shared" si="4"/>
        <v>5.166666666666667</v>
      </c>
      <c r="I53" s="48">
        <f t="shared" si="4"/>
        <v>5.166666666666667</v>
      </c>
      <c r="J53" s="48">
        <f t="shared" si="4"/>
        <v>5.166666666666667</v>
      </c>
      <c r="K53" s="48">
        <f t="shared" si="4"/>
        <v>5.166666666666667</v>
      </c>
      <c r="L53" s="48">
        <f t="shared" si="4"/>
        <v>5.166666666666667</v>
      </c>
      <c r="M53" s="48">
        <f t="shared" si="4"/>
        <v>5.166666666666667</v>
      </c>
      <c r="N53" s="48">
        <f t="shared" si="4"/>
        <v>5.166666666666667</v>
      </c>
      <c r="O53" s="48">
        <f t="shared" si="4"/>
        <v>5.166666666666667</v>
      </c>
      <c r="P53" s="48">
        <f t="shared" si="4"/>
        <v>5.166666666666667</v>
      </c>
      <c r="Q53" s="48">
        <f t="shared" si="4"/>
        <v>5.166666666666667</v>
      </c>
      <c r="R53" s="50">
        <f t="shared" si="0"/>
        <v>61.999999999999993</v>
      </c>
    </row>
    <row r="54" spans="2:19" x14ac:dyDescent="0.2">
      <c r="B54" s="49">
        <v>6351</v>
      </c>
      <c r="C54" t="s">
        <v>153</v>
      </c>
      <c r="D54" s="49" t="s">
        <v>154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50">
        <f t="shared" si="0"/>
        <v>0</v>
      </c>
    </row>
    <row r="55" spans="2:19" x14ac:dyDescent="0.2">
      <c r="B55" s="49">
        <v>6370</v>
      </c>
      <c r="C55" t="s">
        <v>155</v>
      </c>
      <c r="D55" s="49" t="s">
        <v>156</v>
      </c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50">
        <f t="shared" si="0"/>
        <v>0</v>
      </c>
    </row>
    <row r="56" spans="2:19" x14ac:dyDescent="0.2">
      <c r="B56" s="49">
        <v>6420</v>
      </c>
      <c r="C56" t="s">
        <v>157</v>
      </c>
      <c r="D56" s="49" t="s">
        <v>158</v>
      </c>
      <c r="F56" s="48">
        <f>150/12</f>
        <v>12.5</v>
      </c>
      <c r="G56" s="48">
        <f t="shared" ref="G56:Q56" si="5">150/12</f>
        <v>12.5</v>
      </c>
      <c r="H56" s="48">
        <f t="shared" si="5"/>
        <v>12.5</v>
      </c>
      <c r="I56" s="48">
        <f t="shared" si="5"/>
        <v>12.5</v>
      </c>
      <c r="J56" s="48">
        <f t="shared" si="5"/>
        <v>12.5</v>
      </c>
      <c r="K56" s="48">
        <f t="shared" si="5"/>
        <v>12.5</v>
      </c>
      <c r="L56" s="48">
        <f t="shared" si="5"/>
        <v>12.5</v>
      </c>
      <c r="M56" s="48">
        <f t="shared" si="5"/>
        <v>12.5</v>
      </c>
      <c r="N56" s="48">
        <f t="shared" si="5"/>
        <v>12.5</v>
      </c>
      <c r="O56" s="48">
        <f t="shared" si="5"/>
        <v>12.5</v>
      </c>
      <c r="P56" s="48">
        <f t="shared" si="5"/>
        <v>12.5</v>
      </c>
      <c r="Q56" s="48">
        <f t="shared" si="5"/>
        <v>12.5</v>
      </c>
      <c r="R56" s="50">
        <f t="shared" si="0"/>
        <v>150</v>
      </c>
    </row>
    <row r="57" spans="2:19" x14ac:dyDescent="0.2">
      <c r="B57" s="49">
        <v>6430</v>
      </c>
      <c r="C57" t="s">
        <v>160</v>
      </c>
      <c r="D57" s="49" t="s">
        <v>161</v>
      </c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50">
        <f t="shared" si="0"/>
        <v>0</v>
      </c>
    </row>
    <row r="58" spans="2:19" x14ac:dyDescent="0.2">
      <c r="B58" s="49">
        <v>6530</v>
      </c>
      <c r="C58" t="s">
        <v>162</v>
      </c>
      <c r="D58" s="49" t="s">
        <v>163</v>
      </c>
      <c r="F58" s="48">
        <v>50</v>
      </c>
      <c r="G58" s="48">
        <v>50</v>
      </c>
      <c r="H58" s="48">
        <v>50</v>
      </c>
      <c r="I58" s="48">
        <v>50</v>
      </c>
      <c r="J58" s="48">
        <v>50</v>
      </c>
      <c r="K58" s="48">
        <v>50</v>
      </c>
      <c r="L58" s="48">
        <v>50</v>
      </c>
      <c r="M58" s="48">
        <v>50</v>
      </c>
      <c r="N58" s="48">
        <v>50</v>
      </c>
      <c r="O58" s="48">
        <v>50</v>
      </c>
      <c r="P58" s="48">
        <v>50</v>
      </c>
      <c r="Q58" s="48">
        <v>50</v>
      </c>
      <c r="R58" s="50">
        <f t="shared" si="0"/>
        <v>600</v>
      </c>
      <c r="S58" t="s">
        <v>263</v>
      </c>
    </row>
    <row r="59" spans="2:19" x14ac:dyDescent="0.2">
      <c r="B59" s="49">
        <v>6540</v>
      </c>
      <c r="C59" t="s">
        <v>137</v>
      </c>
      <c r="D59" s="49" t="s">
        <v>164</v>
      </c>
      <c r="F59" s="48">
        <v>10</v>
      </c>
      <c r="G59" s="48">
        <v>10</v>
      </c>
      <c r="H59" s="48">
        <v>10</v>
      </c>
      <c r="I59" s="48">
        <v>10</v>
      </c>
      <c r="J59" s="48">
        <v>10</v>
      </c>
      <c r="K59" s="48">
        <v>10</v>
      </c>
      <c r="L59" s="48">
        <v>10</v>
      </c>
      <c r="M59" s="48">
        <v>10</v>
      </c>
      <c r="N59" s="48">
        <v>10</v>
      </c>
      <c r="O59" s="48">
        <v>10</v>
      </c>
      <c r="P59" s="48">
        <v>10</v>
      </c>
      <c r="Q59" s="48">
        <v>10</v>
      </c>
      <c r="R59" s="50">
        <f t="shared" si="0"/>
        <v>120</v>
      </c>
    </row>
    <row r="60" spans="2:19" x14ac:dyDescent="0.2">
      <c r="B60" s="49">
        <v>6550</v>
      </c>
      <c r="C60" t="s">
        <v>165</v>
      </c>
      <c r="D60" s="49" t="s">
        <v>166</v>
      </c>
      <c r="F60" s="55">
        <f>50-10</f>
        <v>40</v>
      </c>
      <c r="G60" s="55">
        <f t="shared" ref="G60:Q60" si="6">50-10</f>
        <v>40</v>
      </c>
      <c r="H60" s="55">
        <f t="shared" si="6"/>
        <v>40</v>
      </c>
      <c r="I60" s="55">
        <f t="shared" si="6"/>
        <v>40</v>
      </c>
      <c r="J60" s="55">
        <f t="shared" si="6"/>
        <v>40</v>
      </c>
      <c r="K60" s="55">
        <f t="shared" si="6"/>
        <v>40</v>
      </c>
      <c r="L60" s="55">
        <f t="shared" si="6"/>
        <v>40</v>
      </c>
      <c r="M60" s="55">
        <f t="shared" si="6"/>
        <v>40</v>
      </c>
      <c r="N60" s="55">
        <f t="shared" si="6"/>
        <v>40</v>
      </c>
      <c r="O60" s="55">
        <f t="shared" si="6"/>
        <v>40</v>
      </c>
      <c r="P60" s="55">
        <f t="shared" si="6"/>
        <v>40</v>
      </c>
      <c r="Q60" s="55">
        <f t="shared" si="6"/>
        <v>40</v>
      </c>
      <c r="R60" s="50">
        <f t="shared" si="0"/>
        <v>480</v>
      </c>
      <c r="S60" t="s">
        <v>264</v>
      </c>
    </row>
    <row r="61" spans="2:19" x14ac:dyDescent="0.2">
      <c r="B61" s="49">
        <v>6560</v>
      </c>
      <c r="C61" t="s">
        <v>167</v>
      </c>
      <c r="D61" s="49" t="s">
        <v>168</v>
      </c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50">
        <f t="shared" si="0"/>
        <v>0</v>
      </c>
    </row>
    <row r="62" spans="2:19" x14ac:dyDescent="0.2">
      <c r="B62" s="49">
        <v>6570</v>
      </c>
      <c r="C62" t="s">
        <v>169</v>
      </c>
      <c r="D62" s="49" t="s">
        <v>170</v>
      </c>
      <c r="F62" s="48">
        <v>1</v>
      </c>
      <c r="G62" s="48">
        <v>1</v>
      </c>
      <c r="H62" s="48">
        <v>1</v>
      </c>
      <c r="I62" s="48">
        <v>1</v>
      </c>
      <c r="J62" s="48">
        <v>1</v>
      </c>
      <c r="K62" s="48">
        <v>1</v>
      </c>
      <c r="L62" s="48">
        <v>1</v>
      </c>
      <c r="M62" s="48">
        <v>1</v>
      </c>
      <c r="N62" s="48">
        <v>1</v>
      </c>
      <c r="O62" s="48">
        <v>1</v>
      </c>
      <c r="P62" s="48">
        <v>1</v>
      </c>
      <c r="Q62" s="48">
        <v>1</v>
      </c>
      <c r="R62" s="50">
        <f t="shared" si="0"/>
        <v>12</v>
      </c>
    </row>
    <row r="63" spans="2:19" x14ac:dyDescent="0.2">
      <c r="B63" s="49">
        <v>6580</v>
      </c>
      <c r="C63" t="s">
        <v>172</v>
      </c>
      <c r="D63" s="49" t="s">
        <v>173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50">
        <f t="shared" si="0"/>
        <v>0</v>
      </c>
    </row>
    <row r="64" spans="2:19" x14ac:dyDescent="0.2">
      <c r="B64" s="49">
        <v>6590</v>
      </c>
      <c r="C64" t="s">
        <v>174</v>
      </c>
      <c r="D64" s="49" t="s">
        <v>175</v>
      </c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50">
        <f t="shared" si="0"/>
        <v>0</v>
      </c>
    </row>
    <row r="65" spans="2:18" x14ac:dyDescent="0.2">
      <c r="B65" s="49">
        <v>6920</v>
      </c>
      <c r="C65" t="s">
        <v>176</v>
      </c>
      <c r="D65" s="49" t="s">
        <v>177</v>
      </c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50">
        <f t="shared" si="0"/>
        <v>0</v>
      </c>
    </row>
    <row r="66" spans="2:18" x14ac:dyDescent="0.2">
      <c r="B66" s="49">
        <v>6940</v>
      </c>
      <c r="C66" t="s">
        <v>179</v>
      </c>
      <c r="D66" s="49" t="s">
        <v>180</v>
      </c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50">
        <f t="shared" si="0"/>
        <v>0</v>
      </c>
    </row>
    <row r="67" spans="2:18" x14ac:dyDescent="0.2">
      <c r="B67" s="49">
        <v>6950</v>
      </c>
      <c r="C67" t="s">
        <v>181</v>
      </c>
      <c r="D67" s="49" t="str">
        <f>B67 &amp; C67</f>
        <v>6950Tillsynsavgifter till myndigheter</v>
      </c>
      <c r="F67" s="48">
        <f>12/12</f>
        <v>1</v>
      </c>
      <c r="G67" s="48">
        <f t="shared" ref="G67:Q67" si="7">12/12</f>
        <v>1</v>
      </c>
      <c r="H67" s="48">
        <f t="shared" si="7"/>
        <v>1</v>
      </c>
      <c r="I67" s="48">
        <f t="shared" si="7"/>
        <v>1</v>
      </c>
      <c r="J67" s="48">
        <f t="shared" si="7"/>
        <v>1</v>
      </c>
      <c r="K67" s="48">
        <f t="shared" si="7"/>
        <v>1</v>
      </c>
      <c r="L67" s="48">
        <f t="shared" si="7"/>
        <v>1</v>
      </c>
      <c r="M67" s="48">
        <f t="shared" si="7"/>
        <v>1</v>
      </c>
      <c r="N67" s="48">
        <f t="shared" si="7"/>
        <v>1</v>
      </c>
      <c r="O67" s="48">
        <f t="shared" si="7"/>
        <v>1</v>
      </c>
      <c r="P67" s="48">
        <f t="shared" si="7"/>
        <v>1</v>
      </c>
      <c r="Q67" s="48">
        <f t="shared" si="7"/>
        <v>1</v>
      </c>
      <c r="R67" s="50">
        <f t="shared" ref="R67:R104" si="8">SUM(F67:Q67)</f>
        <v>12</v>
      </c>
    </row>
    <row r="68" spans="2:18" x14ac:dyDescent="0.2">
      <c r="B68" s="49">
        <v>6970</v>
      </c>
      <c r="C68" t="s">
        <v>182</v>
      </c>
      <c r="D68" s="49" t="s">
        <v>183</v>
      </c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50">
        <f t="shared" si="8"/>
        <v>0</v>
      </c>
    </row>
    <row r="69" spans="2:18" x14ac:dyDescent="0.2">
      <c r="B69" s="49">
        <v>6981</v>
      </c>
      <c r="C69" t="s">
        <v>185</v>
      </c>
      <c r="D69" s="49" t="s">
        <v>186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50">
        <f t="shared" si="8"/>
        <v>0</v>
      </c>
    </row>
    <row r="70" spans="2:18" x14ac:dyDescent="0.2">
      <c r="B70" s="49">
        <v>6982</v>
      </c>
      <c r="C70" t="s">
        <v>187</v>
      </c>
      <c r="D70" s="49" t="s">
        <v>188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50">
        <f t="shared" si="8"/>
        <v>0</v>
      </c>
    </row>
    <row r="71" spans="2:18" x14ac:dyDescent="0.2">
      <c r="B71" s="49">
        <v>6991</v>
      </c>
      <c r="C71" t="s">
        <v>146</v>
      </c>
      <c r="D71" s="49" t="s">
        <v>189</v>
      </c>
      <c r="F71" s="48">
        <f>25/12</f>
        <v>2.0833333333333335</v>
      </c>
      <c r="G71" s="48">
        <f t="shared" ref="G71:Q71" si="9">25/12</f>
        <v>2.0833333333333335</v>
      </c>
      <c r="H71" s="48">
        <f t="shared" si="9"/>
        <v>2.0833333333333335</v>
      </c>
      <c r="I71" s="48">
        <f t="shared" si="9"/>
        <v>2.0833333333333335</v>
      </c>
      <c r="J71" s="48">
        <f t="shared" si="9"/>
        <v>2.0833333333333335</v>
      </c>
      <c r="K71" s="48">
        <f t="shared" si="9"/>
        <v>2.0833333333333335</v>
      </c>
      <c r="L71" s="48">
        <f t="shared" si="9"/>
        <v>2.0833333333333335</v>
      </c>
      <c r="M71" s="48">
        <f t="shared" si="9"/>
        <v>2.0833333333333335</v>
      </c>
      <c r="N71" s="48">
        <f t="shared" si="9"/>
        <v>2.0833333333333335</v>
      </c>
      <c r="O71" s="48">
        <f t="shared" si="9"/>
        <v>2.0833333333333335</v>
      </c>
      <c r="P71" s="48">
        <f t="shared" si="9"/>
        <v>2.0833333333333335</v>
      </c>
      <c r="Q71" s="48">
        <f t="shared" si="9"/>
        <v>2.0833333333333335</v>
      </c>
      <c r="R71" s="50">
        <f t="shared" si="8"/>
        <v>24.999999999999996</v>
      </c>
    </row>
    <row r="72" spans="2:18" x14ac:dyDescent="0.2">
      <c r="B72" s="49">
        <v>6992</v>
      </c>
      <c r="C72" t="s">
        <v>190</v>
      </c>
      <c r="D72" s="49" t="s">
        <v>191</v>
      </c>
      <c r="F72" s="48">
        <v>2</v>
      </c>
      <c r="G72" s="48">
        <v>2</v>
      </c>
      <c r="H72" s="48">
        <v>2</v>
      </c>
      <c r="I72" s="48">
        <v>2</v>
      </c>
      <c r="J72" s="48">
        <v>2</v>
      </c>
      <c r="K72" s="48">
        <v>2</v>
      </c>
      <c r="L72" s="48">
        <v>2</v>
      </c>
      <c r="M72" s="48">
        <v>2</v>
      </c>
      <c r="N72" s="48">
        <v>2</v>
      </c>
      <c r="O72" s="48">
        <v>2</v>
      </c>
      <c r="P72" s="48">
        <v>2</v>
      </c>
      <c r="Q72" s="48">
        <v>2</v>
      </c>
      <c r="R72" s="50">
        <f t="shared" si="8"/>
        <v>24</v>
      </c>
    </row>
    <row r="73" spans="2:18" x14ac:dyDescent="0.2">
      <c r="B73" s="49">
        <v>7010</v>
      </c>
      <c r="C73" t="s">
        <v>192</v>
      </c>
      <c r="D73" s="49" t="s">
        <v>193</v>
      </c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50">
        <f t="shared" si="8"/>
        <v>0</v>
      </c>
    </row>
    <row r="74" spans="2:18" x14ac:dyDescent="0.2">
      <c r="B74" s="49">
        <v>7019</v>
      </c>
      <c r="C74" t="s">
        <v>194</v>
      </c>
      <c r="D74" s="49" t="s">
        <v>195</v>
      </c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50">
        <f t="shared" si="8"/>
        <v>0</v>
      </c>
    </row>
    <row r="75" spans="2:18" x14ac:dyDescent="0.2">
      <c r="B75" s="49">
        <v>7090</v>
      </c>
      <c r="C75" t="s">
        <v>171</v>
      </c>
      <c r="D75" s="49" t="s">
        <v>196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50">
        <f t="shared" si="8"/>
        <v>0</v>
      </c>
    </row>
    <row r="76" spans="2:18" x14ac:dyDescent="0.2">
      <c r="B76" s="49">
        <v>7210</v>
      </c>
      <c r="C76" t="s">
        <v>197</v>
      </c>
      <c r="D76" s="49" t="s">
        <v>198</v>
      </c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50">
        <f t="shared" si="8"/>
        <v>0</v>
      </c>
    </row>
    <row r="77" spans="2:18" x14ac:dyDescent="0.2">
      <c r="B77" s="49">
        <v>7220</v>
      </c>
      <c r="C77" t="s">
        <v>159</v>
      </c>
      <c r="D77" s="49" t="s">
        <v>199</v>
      </c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50">
        <f t="shared" si="8"/>
        <v>0</v>
      </c>
    </row>
    <row r="78" spans="2:18" x14ac:dyDescent="0.2">
      <c r="B78" s="49">
        <v>7280</v>
      </c>
      <c r="C78" t="s">
        <v>200</v>
      </c>
      <c r="D78" s="49" t="s">
        <v>201</v>
      </c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50">
        <f t="shared" si="8"/>
        <v>0</v>
      </c>
    </row>
    <row r="79" spans="2:18" x14ac:dyDescent="0.2">
      <c r="B79" s="49">
        <v>7282</v>
      </c>
      <c r="C79" t="s">
        <v>202</v>
      </c>
      <c r="D79" s="49" t="s">
        <v>203</v>
      </c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50">
        <f t="shared" si="8"/>
        <v>0</v>
      </c>
    </row>
    <row r="80" spans="2:18" x14ac:dyDescent="0.2">
      <c r="B80" s="49">
        <v>7290</v>
      </c>
      <c r="C80" t="s">
        <v>171</v>
      </c>
      <c r="D80" s="49" t="s">
        <v>204</v>
      </c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50">
        <f t="shared" si="8"/>
        <v>0</v>
      </c>
    </row>
    <row r="81" spans="2:18" x14ac:dyDescent="0.2">
      <c r="B81" s="49">
        <v>7300</v>
      </c>
      <c r="C81" t="s">
        <v>206</v>
      </c>
      <c r="D81" s="49" t="s">
        <v>207</v>
      </c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50">
        <f t="shared" si="8"/>
        <v>0</v>
      </c>
    </row>
    <row r="82" spans="2:18" x14ac:dyDescent="0.2">
      <c r="B82" s="49">
        <v>7321</v>
      </c>
      <c r="C82" t="s">
        <v>178</v>
      </c>
      <c r="D82" s="49" t="s">
        <v>208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50">
        <f t="shared" si="8"/>
        <v>0</v>
      </c>
    </row>
    <row r="83" spans="2:18" x14ac:dyDescent="0.2">
      <c r="B83" s="49">
        <v>7323</v>
      </c>
      <c r="C83" t="s">
        <v>184</v>
      </c>
      <c r="D83" s="49" t="s">
        <v>209</v>
      </c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50">
        <f t="shared" si="8"/>
        <v>0</v>
      </c>
    </row>
    <row r="84" spans="2:18" x14ac:dyDescent="0.2">
      <c r="B84" s="49">
        <v>7331</v>
      </c>
      <c r="C84" t="s">
        <v>210</v>
      </c>
      <c r="D84" s="49" t="s">
        <v>211</v>
      </c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50">
        <f t="shared" si="8"/>
        <v>0</v>
      </c>
    </row>
    <row r="85" spans="2:18" x14ac:dyDescent="0.2">
      <c r="B85" s="49">
        <v>7332</v>
      </c>
      <c r="C85" t="s">
        <v>212</v>
      </c>
      <c r="D85" s="49" t="s">
        <v>213</v>
      </c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50">
        <f t="shared" si="8"/>
        <v>0</v>
      </c>
    </row>
    <row r="86" spans="2:18" x14ac:dyDescent="0.2">
      <c r="B86" s="49">
        <v>7380</v>
      </c>
      <c r="C86" t="s">
        <v>214</v>
      </c>
      <c r="D86" s="49" t="s">
        <v>215</v>
      </c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50">
        <f t="shared" si="8"/>
        <v>0</v>
      </c>
    </row>
    <row r="87" spans="2:18" x14ac:dyDescent="0.2">
      <c r="B87" s="49">
        <v>7381</v>
      </c>
      <c r="C87" t="s">
        <v>216</v>
      </c>
      <c r="D87" s="49" t="s">
        <v>217</v>
      </c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50">
        <f>SUM(F87:Q87)</f>
        <v>0</v>
      </c>
    </row>
    <row r="88" spans="2:18" x14ac:dyDescent="0.2">
      <c r="B88" s="49">
        <v>7385</v>
      </c>
      <c r="C88" t="s">
        <v>218</v>
      </c>
      <c r="D88" s="49" t="s">
        <v>219</v>
      </c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50">
        <f t="shared" si="8"/>
        <v>0</v>
      </c>
    </row>
    <row r="89" spans="2:18" x14ac:dyDescent="0.2">
      <c r="B89" s="49">
        <v>7399</v>
      </c>
      <c r="C89" t="s">
        <v>220</v>
      </c>
      <c r="D89" s="49" t="s">
        <v>221</v>
      </c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50">
        <f t="shared" ref="R89:R94" si="10">SUM(F89:Q89)</f>
        <v>0</v>
      </c>
    </row>
    <row r="90" spans="2:18" x14ac:dyDescent="0.2">
      <c r="B90" s="49">
        <v>7410</v>
      </c>
      <c r="C90" t="s">
        <v>205</v>
      </c>
      <c r="D90" s="49" t="s">
        <v>223</v>
      </c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50">
        <f t="shared" si="10"/>
        <v>0</v>
      </c>
    </row>
    <row r="91" spans="2:18" x14ac:dyDescent="0.2">
      <c r="B91" s="49">
        <v>7420</v>
      </c>
      <c r="C91" t="s">
        <v>224</v>
      </c>
      <c r="D91" s="49" t="s">
        <v>225</v>
      </c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50">
        <f t="shared" si="10"/>
        <v>0</v>
      </c>
    </row>
    <row r="92" spans="2:18" x14ac:dyDescent="0.2">
      <c r="B92" s="49">
        <v>7460</v>
      </c>
      <c r="C92" t="s">
        <v>226</v>
      </c>
      <c r="D92" s="49" t="s">
        <v>227</v>
      </c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50">
        <f t="shared" si="10"/>
        <v>0</v>
      </c>
    </row>
    <row r="93" spans="2:18" x14ac:dyDescent="0.2">
      <c r="B93" s="49">
        <v>7510</v>
      </c>
      <c r="C93" t="s">
        <v>229</v>
      </c>
      <c r="D93" s="49" t="s">
        <v>230</v>
      </c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50">
        <f t="shared" si="10"/>
        <v>0</v>
      </c>
    </row>
    <row r="94" spans="2:18" x14ac:dyDescent="0.2">
      <c r="B94" s="49">
        <v>7519</v>
      </c>
      <c r="C94" t="s">
        <v>231</v>
      </c>
      <c r="D94" s="49" t="s">
        <v>232</v>
      </c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50">
        <f t="shared" si="10"/>
        <v>0</v>
      </c>
    </row>
    <row r="95" spans="2:18" x14ac:dyDescent="0.2">
      <c r="B95" s="49">
        <v>7530</v>
      </c>
      <c r="C95" t="s">
        <v>222</v>
      </c>
      <c r="D95" s="49" t="s">
        <v>233</v>
      </c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50">
        <f t="shared" si="8"/>
        <v>0</v>
      </c>
    </row>
    <row r="96" spans="2:18" x14ac:dyDescent="0.2">
      <c r="B96" s="49">
        <v>7570</v>
      </c>
      <c r="C96" t="s">
        <v>228</v>
      </c>
      <c r="D96" s="49" t="s">
        <v>234</v>
      </c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50">
        <f t="shared" si="8"/>
        <v>0</v>
      </c>
    </row>
    <row r="97" spans="2:18" x14ac:dyDescent="0.2">
      <c r="B97" s="49">
        <v>7610</v>
      </c>
      <c r="C97" t="s">
        <v>235</v>
      </c>
      <c r="D97" s="49" t="s">
        <v>236</v>
      </c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50">
        <f t="shared" si="8"/>
        <v>0</v>
      </c>
    </row>
    <row r="98" spans="2:18" x14ac:dyDescent="0.2">
      <c r="B98" s="49">
        <v>7620</v>
      </c>
      <c r="C98" t="s">
        <v>237</v>
      </c>
      <c r="D98" s="49" t="s">
        <v>238</v>
      </c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50">
        <f t="shared" si="8"/>
        <v>0</v>
      </c>
    </row>
    <row r="99" spans="2:18" x14ac:dyDescent="0.2">
      <c r="B99" s="49">
        <v>7621</v>
      </c>
      <c r="C99" t="s">
        <v>239</v>
      </c>
      <c r="D99" s="49" t="s">
        <v>240</v>
      </c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50">
        <f t="shared" si="8"/>
        <v>0</v>
      </c>
    </row>
    <row r="100" spans="2:18" x14ac:dyDescent="0.2">
      <c r="B100" s="49">
        <v>7622</v>
      </c>
      <c r="C100" t="s">
        <v>241</v>
      </c>
      <c r="D100" s="49" t="s">
        <v>242</v>
      </c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50">
        <f t="shared" si="8"/>
        <v>0</v>
      </c>
    </row>
    <row r="101" spans="2:18" x14ac:dyDescent="0.2">
      <c r="B101" s="49">
        <v>7631</v>
      </c>
      <c r="C101" t="s">
        <v>243</v>
      </c>
      <c r="D101" s="49" t="s">
        <v>244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50">
        <f t="shared" si="8"/>
        <v>0</v>
      </c>
    </row>
    <row r="102" spans="2:18" x14ac:dyDescent="0.2">
      <c r="B102" s="49">
        <v>7632</v>
      </c>
      <c r="C102" t="s">
        <v>245</v>
      </c>
      <c r="D102" s="49" t="s">
        <v>246</v>
      </c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50">
        <f t="shared" si="8"/>
        <v>0</v>
      </c>
    </row>
    <row r="103" spans="2:18" x14ac:dyDescent="0.2">
      <c r="B103" s="49">
        <v>7690</v>
      </c>
      <c r="C103" t="s">
        <v>247</v>
      </c>
      <c r="D103" s="49" t="s">
        <v>248</v>
      </c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50">
        <f t="shared" si="8"/>
        <v>0</v>
      </c>
    </row>
    <row r="104" spans="2:18" x14ac:dyDescent="0.2">
      <c r="B104" s="49">
        <v>7691</v>
      </c>
      <c r="C104" t="s">
        <v>249</v>
      </c>
      <c r="D104" s="49" t="s">
        <v>250</v>
      </c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50">
        <f t="shared" si="8"/>
        <v>0</v>
      </c>
    </row>
    <row r="105" spans="2:18" x14ac:dyDescent="0.2">
      <c r="B105" s="49">
        <v>7692</v>
      </c>
      <c r="C105" t="s">
        <v>251</v>
      </c>
      <c r="D105" s="49" t="s">
        <v>252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50"/>
    </row>
    <row r="106" spans="2:18" x14ac:dyDescent="0.2">
      <c r="F106" s="53">
        <f>SUM(F2:F104)</f>
        <v>160.25</v>
      </c>
      <c r="G106" s="53">
        <f t="shared" ref="G106:R106" si="11">SUM(G2:G104)</f>
        <v>160.25</v>
      </c>
      <c r="H106" s="53">
        <f t="shared" si="11"/>
        <v>160.25</v>
      </c>
      <c r="I106" s="53">
        <f t="shared" si="11"/>
        <v>160.25</v>
      </c>
      <c r="J106" s="53">
        <f t="shared" si="11"/>
        <v>160.25</v>
      </c>
      <c r="K106" s="53">
        <f t="shared" si="11"/>
        <v>160.25</v>
      </c>
      <c r="L106" s="53">
        <f t="shared" si="11"/>
        <v>160.25</v>
      </c>
      <c r="M106" s="53">
        <f t="shared" si="11"/>
        <v>160.25</v>
      </c>
      <c r="N106" s="53">
        <f t="shared" si="11"/>
        <v>160.25</v>
      </c>
      <c r="O106" s="53">
        <f t="shared" si="11"/>
        <v>160.25</v>
      </c>
      <c r="P106" s="53">
        <f t="shared" si="11"/>
        <v>160.25</v>
      </c>
      <c r="Q106" s="53">
        <f t="shared" si="11"/>
        <v>160.25</v>
      </c>
      <c r="R106" s="53">
        <f t="shared" si="11"/>
        <v>1923</v>
      </c>
    </row>
    <row r="108" spans="2:18" x14ac:dyDescent="0.2">
      <c r="E108" t="s">
        <v>253</v>
      </c>
      <c r="F108" s="28">
        <f>SUM(F2:F72)</f>
        <v>160.25</v>
      </c>
      <c r="G108" s="28">
        <f t="shared" ref="G108:R108" si="12">SUM(G2:G72)</f>
        <v>160.25</v>
      </c>
      <c r="H108" s="28">
        <f t="shared" si="12"/>
        <v>160.25</v>
      </c>
      <c r="I108" s="28">
        <f t="shared" si="12"/>
        <v>160.25</v>
      </c>
      <c r="J108" s="28">
        <f t="shared" si="12"/>
        <v>160.25</v>
      </c>
      <c r="K108" s="28">
        <f t="shared" si="12"/>
        <v>160.25</v>
      </c>
      <c r="L108" s="28">
        <f t="shared" si="12"/>
        <v>160.25</v>
      </c>
      <c r="M108" s="28">
        <f t="shared" si="12"/>
        <v>160.25</v>
      </c>
      <c r="N108" s="28">
        <f t="shared" si="12"/>
        <v>160.25</v>
      </c>
      <c r="O108" s="28">
        <f t="shared" si="12"/>
        <v>160.25</v>
      </c>
      <c r="P108" s="28">
        <f t="shared" si="12"/>
        <v>160.25</v>
      </c>
      <c r="Q108" s="28">
        <f t="shared" si="12"/>
        <v>160.25</v>
      </c>
      <c r="R108" s="28">
        <f t="shared" si="12"/>
        <v>1923</v>
      </c>
    </row>
    <row r="109" spans="2:18" x14ac:dyDescent="0.2">
      <c r="E109" t="s">
        <v>254</v>
      </c>
      <c r="F109">
        <f>SUM(F73:F104)</f>
        <v>0</v>
      </c>
      <c r="G109">
        <f t="shared" ref="G109:R109" si="13">SUM(G73:G104)</f>
        <v>0</v>
      </c>
      <c r="H109">
        <f t="shared" si="13"/>
        <v>0</v>
      </c>
      <c r="I109">
        <f t="shared" si="13"/>
        <v>0</v>
      </c>
      <c r="J109">
        <f t="shared" si="13"/>
        <v>0</v>
      </c>
      <c r="K109">
        <f t="shared" si="13"/>
        <v>0</v>
      </c>
      <c r="L109">
        <f t="shared" si="13"/>
        <v>0</v>
      </c>
      <c r="M109">
        <f t="shared" si="13"/>
        <v>0</v>
      </c>
      <c r="N109">
        <f t="shared" si="13"/>
        <v>0</v>
      </c>
      <c r="O109">
        <f t="shared" si="13"/>
        <v>0</v>
      </c>
      <c r="P109">
        <f t="shared" si="13"/>
        <v>0</v>
      </c>
      <c r="Q109">
        <f t="shared" si="13"/>
        <v>0</v>
      </c>
      <c r="R109">
        <f t="shared" si="1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BC0-38EE-4890-B1B6-A25E18D700FA}">
  <sheetPr>
    <tabColor rgb="FF92D050"/>
  </sheetPr>
  <dimension ref="B1:T109"/>
  <sheetViews>
    <sheetView workbookViewId="0">
      <selection activeCell="S1" sqref="A1:S1048576"/>
    </sheetView>
  </sheetViews>
  <sheetFormatPr defaultRowHeight="15" x14ac:dyDescent="0.2"/>
  <cols>
    <col min="2" max="2" width="6.3203125" bestFit="1" customWidth="1"/>
    <col min="3" max="3" width="49.234375" bestFit="1" customWidth="1"/>
    <col min="4" max="4" width="53.80859375" bestFit="1" customWidth="1"/>
    <col min="5" max="5" width="8.7421875" bestFit="1" customWidth="1"/>
    <col min="6" max="17" width="8.875" customWidth="1"/>
    <col min="18" max="18" width="11.703125" bestFit="1" customWidth="1"/>
  </cols>
  <sheetData>
    <row r="1" spans="2:20" x14ac:dyDescent="0.2">
      <c r="B1" t="s">
        <v>40</v>
      </c>
      <c r="C1" t="s">
        <v>41</v>
      </c>
      <c r="D1" t="s">
        <v>42</v>
      </c>
      <c r="F1" s="48">
        <v>2601</v>
      </c>
      <c r="G1" s="48">
        <v>2602</v>
      </c>
      <c r="H1" s="48">
        <v>2603</v>
      </c>
      <c r="I1" s="48">
        <v>2604</v>
      </c>
      <c r="J1" s="48">
        <v>2605</v>
      </c>
      <c r="K1" s="48">
        <v>2606</v>
      </c>
      <c r="L1" s="48">
        <v>2607</v>
      </c>
      <c r="M1" s="48">
        <v>2608</v>
      </c>
      <c r="N1" s="48">
        <v>2609</v>
      </c>
      <c r="O1" s="48">
        <v>2610</v>
      </c>
      <c r="P1" s="48">
        <v>2611</v>
      </c>
      <c r="Q1" s="48">
        <v>2612</v>
      </c>
      <c r="R1" s="48" t="s">
        <v>43</v>
      </c>
    </row>
    <row r="2" spans="2:20" x14ac:dyDescent="0.2">
      <c r="B2" s="49">
        <v>5010</v>
      </c>
      <c r="C2" t="s">
        <v>44</v>
      </c>
      <c r="D2" s="49" t="s">
        <v>45</v>
      </c>
      <c r="F2" s="50"/>
      <c r="G2" s="50"/>
      <c r="H2" s="50"/>
      <c r="I2" s="50"/>
      <c r="J2" s="50"/>
      <c r="K2" s="50">
        <f>2050/12-900/6</f>
        <v>20.833333333333343</v>
      </c>
      <c r="L2" s="50">
        <f>2050/12-900/6</f>
        <v>20.833333333333343</v>
      </c>
      <c r="M2" s="50">
        <f>2050/12-900/6</f>
        <v>20.833333333333343</v>
      </c>
      <c r="N2" s="50">
        <f>2050/12-900/6</f>
        <v>20.833333333333343</v>
      </c>
      <c r="O2" s="50">
        <f t="shared" ref="O2:Q2" si="0">2050/12-900/6</f>
        <v>20.833333333333343</v>
      </c>
      <c r="P2" s="50">
        <f t="shared" si="0"/>
        <v>20.833333333333343</v>
      </c>
      <c r="Q2" s="50">
        <f t="shared" si="0"/>
        <v>20.833333333333343</v>
      </c>
      <c r="R2" s="50">
        <f>SUM(F2:Q2)</f>
        <v>145.8333333333334</v>
      </c>
    </row>
    <row r="3" spans="2:20" x14ac:dyDescent="0.2">
      <c r="B3" s="49">
        <v>5020</v>
      </c>
      <c r="C3" t="s">
        <v>46</v>
      </c>
      <c r="D3" s="49" t="s">
        <v>47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>
        <f t="shared" ref="R3:R66" si="1">SUM(F3:Q3)</f>
        <v>0</v>
      </c>
    </row>
    <row r="4" spans="2:20" x14ac:dyDescent="0.2">
      <c r="B4" s="49">
        <v>5030</v>
      </c>
      <c r="C4" t="s">
        <v>48</v>
      </c>
      <c r="D4" s="49" t="s">
        <v>49</v>
      </c>
      <c r="F4" s="50"/>
      <c r="G4" s="50"/>
      <c r="H4" s="50"/>
      <c r="I4" s="50"/>
      <c r="J4" s="50"/>
      <c r="K4" s="50">
        <f t="shared" ref="K4:Q4" si="2">150*0.7/12</f>
        <v>8.75</v>
      </c>
      <c r="L4" s="50">
        <f t="shared" si="2"/>
        <v>8.75</v>
      </c>
      <c r="M4" s="50">
        <f t="shared" si="2"/>
        <v>8.75</v>
      </c>
      <c r="N4" s="50">
        <f t="shared" si="2"/>
        <v>8.75</v>
      </c>
      <c r="O4" s="50">
        <f t="shared" si="2"/>
        <v>8.75</v>
      </c>
      <c r="P4" s="50">
        <f t="shared" si="2"/>
        <v>8.75</v>
      </c>
      <c r="Q4" s="50">
        <f t="shared" si="2"/>
        <v>8.75</v>
      </c>
      <c r="R4" s="50">
        <f>SUM(F4:Q4)</f>
        <v>61.25</v>
      </c>
    </row>
    <row r="5" spans="2:20" x14ac:dyDescent="0.2">
      <c r="B5" s="49">
        <v>5060</v>
      </c>
      <c r="C5" t="s">
        <v>50</v>
      </c>
      <c r="D5" s="49" t="s">
        <v>51</v>
      </c>
      <c r="F5" s="50"/>
      <c r="G5" s="50"/>
      <c r="H5" s="50"/>
      <c r="I5" s="50"/>
      <c r="J5" s="50"/>
      <c r="R5" s="50">
        <f t="shared" si="1"/>
        <v>0</v>
      </c>
    </row>
    <row r="6" spans="2:20" x14ac:dyDescent="0.2">
      <c r="B6" s="49">
        <v>5061</v>
      </c>
      <c r="C6" t="s">
        <v>52</v>
      </c>
      <c r="D6" s="49" t="s">
        <v>53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>
        <f t="shared" si="1"/>
        <v>0</v>
      </c>
    </row>
    <row r="7" spans="2:20" x14ac:dyDescent="0.2">
      <c r="B7" s="49">
        <v>5070</v>
      </c>
      <c r="C7" t="s">
        <v>54</v>
      </c>
      <c r="D7" s="49" t="s">
        <v>55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>
        <f t="shared" si="1"/>
        <v>0</v>
      </c>
    </row>
    <row r="8" spans="2:20" x14ac:dyDescent="0.2">
      <c r="B8" s="49">
        <v>5071</v>
      </c>
      <c r="C8" t="s">
        <v>56</v>
      </c>
      <c r="D8" s="49" t="s">
        <v>57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>
        <f t="shared" si="1"/>
        <v>0</v>
      </c>
    </row>
    <row r="9" spans="2:20" x14ac:dyDescent="0.2">
      <c r="B9" s="49">
        <v>5090</v>
      </c>
      <c r="C9" t="s">
        <v>58</v>
      </c>
      <c r="D9" s="49" t="s">
        <v>59</v>
      </c>
      <c r="F9" s="50"/>
      <c r="G9" s="50"/>
      <c r="H9" s="50"/>
      <c r="I9" s="50"/>
      <c r="J9" s="50"/>
      <c r="K9" s="50">
        <v>200</v>
      </c>
      <c r="L9" s="50">
        <f>155*0.7/6</f>
        <v>18.083333333333332</v>
      </c>
      <c r="M9" s="50">
        <f t="shared" ref="M9:Q9" si="3">155*0.7/6</f>
        <v>18.083333333333332</v>
      </c>
      <c r="N9" s="50">
        <f t="shared" si="3"/>
        <v>18.083333333333332</v>
      </c>
      <c r="O9" s="50">
        <f t="shared" si="3"/>
        <v>18.083333333333332</v>
      </c>
      <c r="P9" s="50">
        <f t="shared" si="3"/>
        <v>18.083333333333332</v>
      </c>
      <c r="Q9" s="50">
        <f t="shared" si="3"/>
        <v>18.083333333333332</v>
      </c>
      <c r="R9" s="50">
        <f t="shared" si="1"/>
        <v>308.5</v>
      </c>
      <c r="T9" t="s">
        <v>265</v>
      </c>
    </row>
    <row r="10" spans="2:20" x14ac:dyDescent="0.2">
      <c r="B10" s="49">
        <v>5222</v>
      </c>
      <c r="C10" t="s">
        <v>60</v>
      </c>
      <c r="D10" s="49" t="s">
        <v>61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>
        <f t="shared" si="1"/>
        <v>0</v>
      </c>
    </row>
    <row r="11" spans="2:20" x14ac:dyDescent="0.2">
      <c r="B11" s="49">
        <v>5410</v>
      </c>
      <c r="C11" t="s">
        <v>62</v>
      </c>
      <c r="D11" s="49" t="s">
        <v>63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>
        <f t="shared" si="1"/>
        <v>0</v>
      </c>
    </row>
    <row r="12" spans="2:20" x14ac:dyDescent="0.2">
      <c r="B12" s="49">
        <v>5420</v>
      </c>
      <c r="C12" t="s">
        <v>64</v>
      </c>
      <c r="D12" s="49" t="s">
        <v>65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>
        <f t="shared" si="1"/>
        <v>0</v>
      </c>
    </row>
    <row r="13" spans="2:20" x14ac:dyDescent="0.2">
      <c r="B13" s="49">
        <v>5440</v>
      </c>
      <c r="C13" t="s">
        <v>66</v>
      </c>
      <c r="D13" s="49" t="s">
        <v>67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>
        <f t="shared" si="1"/>
        <v>0</v>
      </c>
    </row>
    <row r="14" spans="2:20" x14ac:dyDescent="0.2">
      <c r="B14" s="49">
        <v>5460</v>
      </c>
      <c r="C14" t="s">
        <v>68</v>
      </c>
      <c r="D14" s="49" t="s">
        <v>69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>
        <f t="shared" si="1"/>
        <v>0</v>
      </c>
    </row>
    <row r="15" spans="2:20" x14ac:dyDescent="0.2">
      <c r="B15" s="49">
        <v>5462</v>
      </c>
      <c r="C15" t="s">
        <v>70</v>
      </c>
      <c r="D15" s="51" t="s">
        <v>71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>
        <f t="shared" si="1"/>
        <v>0</v>
      </c>
    </row>
    <row r="16" spans="2:20" x14ac:dyDescent="0.2">
      <c r="B16" s="49">
        <v>5463</v>
      </c>
      <c r="C16" t="s">
        <v>72</v>
      </c>
      <c r="D16" s="51" t="s">
        <v>73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>
        <f t="shared" si="1"/>
        <v>0</v>
      </c>
    </row>
    <row r="17" spans="2:18" x14ac:dyDescent="0.2">
      <c r="B17" s="49">
        <v>5464</v>
      </c>
      <c r="C17" t="s">
        <v>75</v>
      </c>
      <c r="D17" s="51" t="s">
        <v>76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>
        <f t="shared" si="1"/>
        <v>0</v>
      </c>
    </row>
    <row r="18" spans="2:18" x14ac:dyDescent="0.2">
      <c r="B18" s="49">
        <v>5465</v>
      </c>
      <c r="C18" t="s">
        <v>77</v>
      </c>
      <c r="D18" s="51" t="s">
        <v>78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>
        <f t="shared" si="1"/>
        <v>0</v>
      </c>
    </row>
    <row r="19" spans="2:18" x14ac:dyDescent="0.2">
      <c r="B19" s="49">
        <v>5466</v>
      </c>
      <c r="C19" t="s">
        <v>79</v>
      </c>
      <c r="D19" s="51" t="s">
        <v>80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>
        <f t="shared" si="1"/>
        <v>0</v>
      </c>
    </row>
    <row r="20" spans="2:18" x14ac:dyDescent="0.2">
      <c r="B20" s="49">
        <v>5480</v>
      </c>
      <c r="C20" t="s">
        <v>74</v>
      </c>
      <c r="D20" s="49" t="s">
        <v>81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>
        <f t="shared" si="1"/>
        <v>0</v>
      </c>
    </row>
    <row r="21" spans="2:18" x14ac:dyDescent="0.2">
      <c r="B21" s="49">
        <v>5500</v>
      </c>
      <c r="C21" t="s">
        <v>82</v>
      </c>
      <c r="D21" s="49" t="s">
        <v>83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>
        <f t="shared" si="1"/>
        <v>0</v>
      </c>
    </row>
    <row r="22" spans="2:18" x14ac:dyDescent="0.2">
      <c r="B22" s="49">
        <v>5611</v>
      </c>
      <c r="C22" t="s">
        <v>84</v>
      </c>
      <c r="D22" s="49" t="s">
        <v>85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>
        <f t="shared" si="1"/>
        <v>0</v>
      </c>
    </row>
    <row r="23" spans="2:18" x14ac:dyDescent="0.2">
      <c r="B23" s="49">
        <v>5612</v>
      </c>
      <c r="C23" t="s">
        <v>86</v>
      </c>
      <c r="D23" s="49" t="s">
        <v>87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>
        <f t="shared" si="1"/>
        <v>0</v>
      </c>
    </row>
    <row r="24" spans="2:18" x14ac:dyDescent="0.2">
      <c r="B24" s="49">
        <v>5613</v>
      </c>
      <c r="C24" t="s">
        <v>88</v>
      </c>
      <c r="D24" s="49" t="s">
        <v>89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>
        <f t="shared" si="1"/>
        <v>0</v>
      </c>
    </row>
    <row r="25" spans="2:18" x14ac:dyDescent="0.2">
      <c r="B25" s="49">
        <v>5615</v>
      </c>
      <c r="C25" t="s">
        <v>90</v>
      </c>
      <c r="D25" s="49" t="s">
        <v>91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>
        <f t="shared" si="1"/>
        <v>0</v>
      </c>
    </row>
    <row r="26" spans="2:18" x14ac:dyDescent="0.2">
      <c r="B26" s="49">
        <v>5616</v>
      </c>
      <c r="C26" t="s">
        <v>92</v>
      </c>
      <c r="D26" s="49" t="s">
        <v>93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>
        <f t="shared" si="1"/>
        <v>0</v>
      </c>
    </row>
    <row r="27" spans="2:18" x14ac:dyDescent="0.2">
      <c r="B27" s="49">
        <v>5619</v>
      </c>
      <c r="C27" t="s">
        <v>94</v>
      </c>
      <c r="D27" s="49" t="s">
        <v>95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>
        <f t="shared" si="1"/>
        <v>0</v>
      </c>
    </row>
    <row r="28" spans="2:18" x14ac:dyDescent="0.2">
      <c r="B28" s="49">
        <v>5720</v>
      </c>
      <c r="C28" t="s">
        <v>96</v>
      </c>
      <c r="D28" s="49" t="s">
        <v>97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>
        <f t="shared" si="1"/>
        <v>0</v>
      </c>
    </row>
    <row r="29" spans="2:18" x14ac:dyDescent="0.2">
      <c r="B29" s="49">
        <v>5831</v>
      </c>
      <c r="C29" t="s">
        <v>98</v>
      </c>
      <c r="D29" s="49" t="s">
        <v>99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>
        <f t="shared" si="1"/>
        <v>0</v>
      </c>
    </row>
    <row r="30" spans="2:18" x14ac:dyDescent="0.2">
      <c r="B30" s="49">
        <v>5832</v>
      </c>
      <c r="C30" t="s">
        <v>100</v>
      </c>
      <c r="D30" s="49" t="s">
        <v>101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>
        <f t="shared" si="1"/>
        <v>0</v>
      </c>
    </row>
    <row r="31" spans="2:18" x14ac:dyDescent="0.2">
      <c r="B31" s="49">
        <v>5890</v>
      </c>
      <c r="C31" t="s">
        <v>103</v>
      </c>
      <c r="D31" s="49" t="s">
        <v>104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>
        <f t="shared" si="1"/>
        <v>0</v>
      </c>
    </row>
    <row r="32" spans="2:18" x14ac:dyDescent="0.2">
      <c r="B32" s="49">
        <v>5891</v>
      </c>
      <c r="C32" t="s">
        <v>106</v>
      </c>
      <c r="D32" s="49" t="s">
        <v>107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>
        <f t="shared" si="1"/>
        <v>0</v>
      </c>
    </row>
    <row r="33" spans="2:18" x14ac:dyDescent="0.2">
      <c r="B33" s="49">
        <v>5892</v>
      </c>
      <c r="C33" t="s">
        <v>108</v>
      </c>
      <c r="D33" s="49" t="s">
        <v>109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>
        <f t="shared" si="1"/>
        <v>0</v>
      </c>
    </row>
    <row r="34" spans="2:18" x14ac:dyDescent="0.2">
      <c r="B34" s="49">
        <v>5900</v>
      </c>
      <c r="C34" t="s">
        <v>110</v>
      </c>
      <c r="D34" s="49" t="s">
        <v>111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>
        <f t="shared" si="1"/>
        <v>0</v>
      </c>
    </row>
    <row r="35" spans="2:18" x14ac:dyDescent="0.2">
      <c r="B35" s="49">
        <v>5930</v>
      </c>
      <c r="C35" t="s">
        <v>112</v>
      </c>
      <c r="D35" s="49" t="s">
        <v>113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>
        <f t="shared" si="1"/>
        <v>0</v>
      </c>
    </row>
    <row r="36" spans="2:18" x14ac:dyDescent="0.2">
      <c r="B36" s="49">
        <v>5940</v>
      </c>
      <c r="C36" t="s">
        <v>114</v>
      </c>
      <c r="D36" s="49" t="s">
        <v>115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>
        <f t="shared" si="1"/>
        <v>0</v>
      </c>
    </row>
    <row r="37" spans="2:18" x14ac:dyDescent="0.2">
      <c r="B37" s="49">
        <v>5941</v>
      </c>
      <c r="C37" t="s">
        <v>116</v>
      </c>
      <c r="D37" s="49" t="s">
        <v>117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>
        <f t="shared" si="1"/>
        <v>0</v>
      </c>
    </row>
    <row r="38" spans="2:18" x14ac:dyDescent="0.2">
      <c r="B38" s="49">
        <v>5970</v>
      </c>
      <c r="C38" t="s">
        <v>118</v>
      </c>
      <c r="D38" s="49" t="s">
        <v>119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>
        <f t="shared" si="1"/>
        <v>0</v>
      </c>
    </row>
    <row r="39" spans="2:18" x14ac:dyDescent="0.2">
      <c r="B39" s="49">
        <v>5980</v>
      </c>
      <c r="C39" t="s">
        <v>120</v>
      </c>
      <c r="D39" s="49" t="s">
        <v>121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>
        <f t="shared" si="1"/>
        <v>0</v>
      </c>
    </row>
    <row r="40" spans="2:18" x14ac:dyDescent="0.2">
      <c r="B40" s="49">
        <v>5990</v>
      </c>
      <c r="C40" t="s">
        <v>122</v>
      </c>
      <c r="D40" s="49" t="s">
        <v>123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>
        <f t="shared" si="1"/>
        <v>0</v>
      </c>
    </row>
    <row r="41" spans="2:18" x14ac:dyDescent="0.2">
      <c r="B41" s="49">
        <v>6071</v>
      </c>
      <c r="C41" t="s">
        <v>124</v>
      </c>
      <c r="D41" s="49" t="s">
        <v>125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>
        <f t="shared" si="1"/>
        <v>0</v>
      </c>
    </row>
    <row r="42" spans="2:18" x14ac:dyDescent="0.2">
      <c r="B42" s="49">
        <v>6072</v>
      </c>
      <c r="C42" t="s">
        <v>127</v>
      </c>
      <c r="D42" s="49" t="s">
        <v>128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>
        <f t="shared" si="1"/>
        <v>0</v>
      </c>
    </row>
    <row r="43" spans="2:18" x14ac:dyDescent="0.2">
      <c r="B43" s="49">
        <v>6090</v>
      </c>
      <c r="C43" t="s">
        <v>129</v>
      </c>
      <c r="D43" s="49" t="s">
        <v>130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>
        <f t="shared" si="1"/>
        <v>0</v>
      </c>
    </row>
    <row r="44" spans="2:18" x14ac:dyDescent="0.2">
      <c r="B44" s="49">
        <v>6091</v>
      </c>
      <c r="C44" t="s">
        <v>131</v>
      </c>
      <c r="D44" s="51" t="s">
        <v>132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>
        <f t="shared" si="1"/>
        <v>0</v>
      </c>
    </row>
    <row r="45" spans="2:18" x14ac:dyDescent="0.2">
      <c r="B45" s="49">
        <v>6092</v>
      </c>
      <c r="C45" t="s">
        <v>133</v>
      </c>
      <c r="D45" s="51" t="s">
        <v>134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>
        <f t="shared" si="1"/>
        <v>0</v>
      </c>
    </row>
    <row r="46" spans="2:18" x14ac:dyDescent="0.2">
      <c r="B46" s="49">
        <v>6093</v>
      </c>
      <c r="C46" t="s">
        <v>135</v>
      </c>
      <c r="D46" s="49" t="s">
        <v>136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>
        <f t="shared" si="1"/>
        <v>0</v>
      </c>
    </row>
    <row r="47" spans="2:18" x14ac:dyDescent="0.2">
      <c r="B47" s="49">
        <v>6110</v>
      </c>
      <c r="C47" t="s">
        <v>138</v>
      </c>
      <c r="D47" s="49" t="s">
        <v>139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>
        <f t="shared" si="1"/>
        <v>0</v>
      </c>
    </row>
    <row r="48" spans="2:18" x14ac:dyDescent="0.2">
      <c r="B48" s="49">
        <v>6211</v>
      </c>
      <c r="C48" t="s">
        <v>140</v>
      </c>
      <c r="D48" s="49" t="s">
        <v>141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>
        <f t="shared" si="1"/>
        <v>0</v>
      </c>
    </row>
    <row r="49" spans="2:18" x14ac:dyDescent="0.2">
      <c r="B49" s="49">
        <v>6212</v>
      </c>
      <c r="C49" t="s">
        <v>142</v>
      </c>
      <c r="D49" s="49" t="s">
        <v>143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>
        <f t="shared" si="1"/>
        <v>0</v>
      </c>
    </row>
    <row r="50" spans="2:18" x14ac:dyDescent="0.2">
      <c r="B50" s="49">
        <v>6213</v>
      </c>
      <c r="C50" t="s">
        <v>144</v>
      </c>
      <c r="D50" s="49" t="s">
        <v>145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>
        <f t="shared" si="1"/>
        <v>0</v>
      </c>
    </row>
    <row r="51" spans="2:18" x14ac:dyDescent="0.2">
      <c r="B51" s="49">
        <v>6230</v>
      </c>
      <c r="C51" t="s">
        <v>147</v>
      </c>
      <c r="D51" s="49" t="s">
        <v>148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>
        <f t="shared" si="1"/>
        <v>0</v>
      </c>
    </row>
    <row r="52" spans="2:18" x14ac:dyDescent="0.2">
      <c r="B52" s="49">
        <v>6250</v>
      </c>
      <c r="C52" t="s">
        <v>149</v>
      </c>
      <c r="D52" s="49" t="s">
        <v>150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>
        <f t="shared" si="1"/>
        <v>0</v>
      </c>
    </row>
    <row r="53" spans="2:18" x14ac:dyDescent="0.2">
      <c r="B53" s="49">
        <v>6310</v>
      </c>
      <c r="C53" t="s">
        <v>151</v>
      </c>
      <c r="D53" s="49" t="s">
        <v>152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>
        <f t="shared" si="1"/>
        <v>0</v>
      </c>
    </row>
    <row r="54" spans="2:18" x14ac:dyDescent="0.2">
      <c r="B54" s="49">
        <v>6351</v>
      </c>
      <c r="C54" t="s">
        <v>153</v>
      </c>
      <c r="D54" s="49" t="s">
        <v>154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>
        <f t="shared" si="1"/>
        <v>0</v>
      </c>
    </row>
    <row r="55" spans="2:18" x14ac:dyDescent="0.2">
      <c r="B55" s="49">
        <v>6370</v>
      </c>
      <c r="C55" t="s">
        <v>155</v>
      </c>
      <c r="D55" s="49" t="s">
        <v>156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>
        <f t="shared" si="1"/>
        <v>0</v>
      </c>
    </row>
    <row r="56" spans="2:18" x14ac:dyDescent="0.2">
      <c r="B56" s="49">
        <v>6420</v>
      </c>
      <c r="C56" t="s">
        <v>157</v>
      </c>
      <c r="D56" s="49" t="s">
        <v>158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>
        <f t="shared" si="1"/>
        <v>0</v>
      </c>
    </row>
    <row r="57" spans="2:18" x14ac:dyDescent="0.2">
      <c r="B57" s="49">
        <v>6430</v>
      </c>
      <c r="C57" t="s">
        <v>160</v>
      </c>
      <c r="D57" s="49" t="s">
        <v>161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>
        <f t="shared" si="1"/>
        <v>0</v>
      </c>
    </row>
    <row r="58" spans="2:18" x14ac:dyDescent="0.2">
      <c r="B58" s="49">
        <v>6530</v>
      </c>
      <c r="C58" t="s">
        <v>162</v>
      </c>
      <c r="D58" s="49" t="s">
        <v>163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>
        <f t="shared" si="1"/>
        <v>0</v>
      </c>
    </row>
    <row r="59" spans="2:18" x14ac:dyDescent="0.2">
      <c r="B59" s="49">
        <v>6540</v>
      </c>
      <c r="C59" t="s">
        <v>137</v>
      </c>
      <c r="D59" s="49" t="s">
        <v>164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>
        <f t="shared" si="1"/>
        <v>0</v>
      </c>
    </row>
    <row r="60" spans="2:18" x14ac:dyDescent="0.2">
      <c r="B60" s="49">
        <v>6550</v>
      </c>
      <c r="C60" t="s">
        <v>165</v>
      </c>
      <c r="D60" s="49" t="s">
        <v>166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>
        <f t="shared" si="1"/>
        <v>0</v>
      </c>
    </row>
    <row r="61" spans="2:18" x14ac:dyDescent="0.2">
      <c r="B61" s="49">
        <v>6560</v>
      </c>
      <c r="C61" t="s">
        <v>167</v>
      </c>
      <c r="D61" s="49" t="s">
        <v>168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>
        <f t="shared" si="1"/>
        <v>0</v>
      </c>
    </row>
    <row r="62" spans="2:18" x14ac:dyDescent="0.2">
      <c r="B62" s="49">
        <v>6570</v>
      </c>
      <c r="C62" t="s">
        <v>169</v>
      </c>
      <c r="D62" s="49" t="s">
        <v>170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>
        <f t="shared" si="1"/>
        <v>0</v>
      </c>
    </row>
    <row r="63" spans="2:18" x14ac:dyDescent="0.2">
      <c r="B63" s="49">
        <v>6580</v>
      </c>
      <c r="C63" t="s">
        <v>172</v>
      </c>
      <c r="D63" s="49" t="s">
        <v>173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>
        <f t="shared" si="1"/>
        <v>0</v>
      </c>
    </row>
    <row r="64" spans="2:18" x14ac:dyDescent="0.2">
      <c r="B64" s="49">
        <v>6590</v>
      </c>
      <c r="C64" t="s">
        <v>174</v>
      </c>
      <c r="D64" s="49" t="s">
        <v>175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>
        <f t="shared" si="1"/>
        <v>0</v>
      </c>
    </row>
    <row r="65" spans="2:18" x14ac:dyDescent="0.2">
      <c r="B65" s="49">
        <v>6920</v>
      </c>
      <c r="C65" t="s">
        <v>176</v>
      </c>
      <c r="D65" s="49" t="s">
        <v>177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>
        <f t="shared" si="1"/>
        <v>0</v>
      </c>
    </row>
    <row r="66" spans="2:18" x14ac:dyDescent="0.2">
      <c r="B66" s="49">
        <v>6940</v>
      </c>
      <c r="C66" t="s">
        <v>179</v>
      </c>
      <c r="D66" s="49" t="s">
        <v>180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>
        <f t="shared" si="1"/>
        <v>0</v>
      </c>
    </row>
    <row r="67" spans="2:18" x14ac:dyDescent="0.2">
      <c r="B67" s="49">
        <v>6950</v>
      </c>
      <c r="C67" t="s">
        <v>181</v>
      </c>
      <c r="D67" s="49" t="str">
        <f>B67 &amp; C67</f>
        <v>6950Tillsynsavgifter till myndigheter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>
        <f t="shared" ref="R67:R105" si="4">SUM(F67:Q67)</f>
        <v>0</v>
      </c>
    </row>
    <row r="68" spans="2:18" x14ac:dyDescent="0.2">
      <c r="B68" s="49">
        <v>6970</v>
      </c>
      <c r="C68" t="s">
        <v>182</v>
      </c>
      <c r="D68" s="49" t="s">
        <v>183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>
        <f t="shared" si="4"/>
        <v>0</v>
      </c>
    </row>
    <row r="69" spans="2:18" x14ac:dyDescent="0.2">
      <c r="B69" s="49">
        <v>6981</v>
      </c>
      <c r="C69" t="s">
        <v>185</v>
      </c>
      <c r="D69" s="49" t="s">
        <v>186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>
        <f t="shared" si="4"/>
        <v>0</v>
      </c>
    </row>
    <row r="70" spans="2:18" x14ac:dyDescent="0.2">
      <c r="B70" s="49">
        <v>6982</v>
      </c>
      <c r="C70" t="s">
        <v>187</v>
      </c>
      <c r="D70" s="49" t="s">
        <v>188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>
        <f t="shared" si="4"/>
        <v>0</v>
      </c>
    </row>
    <row r="71" spans="2:18" x14ac:dyDescent="0.2">
      <c r="B71" s="49">
        <v>6991</v>
      </c>
      <c r="C71" t="s">
        <v>146</v>
      </c>
      <c r="D71" s="49" t="s">
        <v>189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>
        <f t="shared" si="4"/>
        <v>0</v>
      </c>
    </row>
    <row r="72" spans="2:18" x14ac:dyDescent="0.2">
      <c r="B72" s="49">
        <v>6992</v>
      </c>
      <c r="C72" t="s">
        <v>190</v>
      </c>
      <c r="D72" s="49" t="s">
        <v>191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>
        <f t="shared" si="4"/>
        <v>0</v>
      </c>
    </row>
    <row r="73" spans="2:18" x14ac:dyDescent="0.2">
      <c r="B73" s="49">
        <v>7010</v>
      </c>
      <c r="C73" t="s">
        <v>192</v>
      </c>
      <c r="D73" s="49" t="s">
        <v>193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>
        <f t="shared" si="4"/>
        <v>0</v>
      </c>
    </row>
    <row r="74" spans="2:18" x14ac:dyDescent="0.2">
      <c r="B74" s="49">
        <v>7019</v>
      </c>
      <c r="C74" t="s">
        <v>194</v>
      </c>
      <c r="D74" s="49" t="s">
        <v>195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>
        <f t="shared" si="4"/>
        <v>0</v>
      </c>
    </row>
    <row r="75" spans="2:18" x14ac:dyDescent="0.2">
      <c r="B75" s="49">
        <v>7090</v>
      </c>
      <c r="C75" t="s">
        <v>171</v>
      </c>
      <c r="D75" s="49" t="s">
        <v>196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>
        <f t="shared" si="4"/>
        <v>0</v>
      </c>
    </row>
    <row r="76" spans="2:18" x14ac:dyDescent="0.2">
      <c r="B76" s="49">
        <v>7210</v>
      </c>
      <c r="C76" t="s">
        <v>197</v>
      </c>
      <c r="D76" s="49" t="s">
        <v>198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>
        <f t="shared" si="4"/>
        <v>0</v>
      </c>
    </row>
    <row r="77" spans="2:18" x14ac:dyDescent="0.2">
      <c r="B77" s="49">
        <v>7220</v>
      </c>
      <c r="C77" t="s">
        <v>159</v>
      </c>
      <c r="D77" s="49" t="s">
        <v>199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>
        <f t="shared" si="4"/>
        <v>0</v>
      </c>
    </row>
    <row r="78" spans="2:18" x14ac:dyDescent="0.2">
      <c r="B78" s="49">
        <v>7280</v>
      </c>
      <c r="C78" t="s">
        <v>200</v>
      </c>
      <c r="D78" s="49" t="s">
        <v>201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>
        <f t="shared" si="4"/>
        <v>0</v>
      </c>
    </row>
    <row r="79" spans="2:18" x14ac:dyDescent="0.2">
      <c r="B79" s="49">
        <v>7282</v>
      </c>
      <c r="C79" t="s">
        <v>202</v>
      </c>
      <c r="D79" s="49" t="s">
        <v>203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>
        <f t="shared" si="4"/>
        <v>0</v>
      </c>
    </row>
    <row r="80" spans="2:18" x14ac:dyDescent="0.2">
      <c r="B80" s="49">
        <v>7290</v>
      </c>
      <c r="C80" t="s">
        <v>171</v>
      </c>
      <c r="D80" s="49" t="s">
        <v>204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>
        <f t="shared" si="4"/>
        <v>0</v>
      </c>
    </row>
    <row r="81" spans="2:18" x14ac:dyDescent="0.2">
      <c r="B81" s="49">
        <v>7300</v>
      </c>
      <c r="C81" t="s">
        <v>206</v>
      </c>
      <c r="D81" s="49" t="s">
        <v>207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>
        <f t="shared" si="4"/>
        <v>0</v>
      </c>
    </row>
    <row r="82" spans="2:18" x14ac:dyDescent="0.2">
      <c r="B82" s="49">
        <v>7321</v>
      </c>
      <c r="C82" t="s">
        <v>178</v>
      </c>
      <c r="D82" s="49" t="s">
        <v>208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>
        <f t="shared" si="4"/>
        <v>0</v>
      </c>
    </row>
    <row r="83" spans="2:18" x14ac:dyDescent="0.2">
      <c r="B83" s="49">
        <v>7323</v>
      </c>
      <c r="C83" t="s">
        <v>184</v>
      </c>
      <c r="D83" s="49" t="s">
        <v>209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>
        <f t="shared" si="4"/>
        <v>0</v>
      </c>
    </row>
    <row r="84" spans="2:18" x14ac:dyDescent="0.2">
      <c r="B84" s="49">
        <v>7331</v>
      </c>
      <c r="C84" t="s">
        <v>210</v>
      </c>
      <c r="D84" s="49" t="s">
        <v>211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>
        <f t="shared" si="4"/>
        <v>0</v>
      </c>
    </row>
    <row r="85" spans="2:18" x14ac:dyDescent="0.2">
      <c r="B85" s="49">
        <v>7332</v>
      </c>
      <c r="C85" t="s">
        <v>212</v>
      </c>
      <c r="D85" s="49" t="s">
        <v>213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>
        <f t="shared" si="4"/>
        <v>0</v>
      </c>
    </row>
    <row r="86" spans="2:18" x14ac:dyDescent="0.2">
      <c r="B86" s="49">
        <v>7380</v>
      </c>
      <c r="C86" t="s">
        <v>214</v>
      </c>
      <c r="D86" s="49" t="s">
        <v>215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>
        <f t="shared" si="4"/>
        <v>0</v>
      </c>
    </row>
    <row r="87" spans="2:18" x14ac:dyDescent="0.2">
      <c r="B87" s="49">
        <v>7381</v>
      </c>
      <c r="C87" t="s">
        <v>216</v>
      </c>
      <c r="D87" s="49" t="s">
        <v>217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>
        <f>SUM(F87:Q87)</f>
        <v>0</v>
      </c>
    </row>
    <row r="88" spans="2:18" x14ac:dyDescent="0.2">
      <c r="B88" s="49">
        <v>7385</v>
      </c>
      <c r="C88" t="s">
        <v>218</v>
      </c>
      <c r="D88" s="49" t="s">
        <v>219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>
        <f t="shared" si="4"/>
        <v>0</v>
      </c>
    </row>
    <row r="89" spans="2:18" x14ac:dyDescent="0.2">
      <c r="B89" s="49">
        <v>7399</v>
      </c>
      <c r="C89" t="s">
        <v>220</v>
      </c>
      <c r="D89" s="49" t="s">
        <v>221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>
        <f t="shared" ref="R89:R94" si="5">SUM(F89:Q89)</f>
        <v>0</v>
      </c>
    </row>
    <row r="90" spans="2:18" x14ac:dyDescent="0.2">
      <c r="B90" s="49">
        <v>7410</v>
      </c>
      <c r="C90" t="s">
        <v>205</v>
      </c>
      <c r="D90" s="49" t="s">
        <v>223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>
        <f t="shared" si="5"/>
        <v>0</v>
      </c>
    </row>
    <row r="91" spans="2:18" x14ac:dyDescent="0.2">
      <c r="B91" s="49">
        <v>7420</v>
      </c>
      <c r="C91" t="s">
        <v>224</v>
      </c>
      <c r="D91" s="49" t="s">
        <v>225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>
        <f t="shared" si="5"/>
        <v>0</v>
      </c>
    </row>
    <row r="92" spans="2:18" x14ac:dyDescent="0.2">
      <c r="B92" s="49">
        <v>7460</v>
      </c>
      <c r="C92" t="s">
        <v>226</v>
      </c>
      <c r="D92" s="49" t="s">
        <v>227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>
        <f t="shared" si="5"/>
        <v>0</v>
      </c>
    </row>
    <row r="93" spans="2:18" x14ac:dyDescent="0.2">
      <c r="B93" s="49">
        <v>7510</v>
      </c>
      <c r="C93" t="s">
        <v>229</v>
      </c>
      <c r="D93" s="49" t="s">
        <v>230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>
        <f t="shared" si="5"/>
        <v>0</v>
      </c>
    </row>
    <row r="94" spans="2:18" x14ac:dyDescent="0.2">
      <c r="B94" s="49">
        <v>7519</v>
      </c>
      <c r="C94" t="s">
        <v>231</v>
      </c>
      <c r="D94" s="49" t="s">
        <v>232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>
        <f t="shared" si="5"/>
        <v>0</v>
      </c>
    </row>
    <row r="95" spans="2:18" x14ac:dyDescent="0.2">
      <c r="B95" s="49">
        <v>7530</v>
      </c>
      <c r="C95" t="s">
        <v>222</v>
      </c>
      <c r="D95" s="49" t="s">
        <v>233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>
        <f t="shared" si="4"/>
        <v>0</v>
      </c>
    </row>
    <row r="96" spans="2:18" x14ac:dyDescent="0.2">
      <c r="B96" s="49">
        <v>7570</v>
      </c>
      <c r="C96" t="s">
        <v>228</v>
      </c>
      <c r="D96" s="49" t="s">
        <v>234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>
        <f t="shared" si="4"/>
        <v>0</v>
      </c>
    </row>
    <row r="97" spans="2:18" x14ac:dyDescent="0.2">
      <c r="B97" s="49">
        <v>7610</v>
      </c>
      <c r="C97" t="s">
        <v>235</v>
      </c>
      <c r="D97" s="49" t="s">
        <v>236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>
        <f t="shared" si="4"/>
        <v>0</v>
      </c>
    </row>
    <row r="98" spans="2:18" x14ac:dyDescent="0.2">
      <c r="B98" s="49">
        <v>7620</v>
      </c>
      <c r="C98" t="s">
        <v>237</v>
      </c>
      <c r="D98" s="49" t="s">
        <v>238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>
        <f t="shared" si="4"/>
        <v>0</v>
      </c>
    </row>
    <row r="99" spans="2:18" x14ac:dyDescent="0.2">
      <c r="B99" s="49">
        <v>7621</v>
      </c>
      <c r="C99" t="s">
        <v>239</v>
      </c>
      <c r="D99" s="49" t="s">
        <v>240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>
        <f t="shared" si="4"/>
        <v>0</v>
      </c>
    </row>
    <row r="100" spans="2:18" x14ac:dyDescent="0.2">
      <c r="B100" s="49">
        <v>7622</v>
      </c>
      <c r="C100" t="s">
        <v>241</v>
      </c>
      <c r="D100" s="49" t="s">
        <v>242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>
        <f t="shared" si="4"/>
        <v>0</v>
      </c>
    </row>
    <row r="101" spans="2:18" x14ac:dyDescent="0.2">
      <c r="B101" s="49">
        <v>7631</v>
      </c>
      <c r="C101" t="s">
        <v>243</v>
      </c>
      <c r="D101" s="49" t="s">
        <v>244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>
        <f t="shared" si="4"/>
        <v>0</v>
      </c>
    </row>
    <row r="102" spans="2:18" x14ac:dyDescent="0.2">
      <c r="B102" s="49">
        <v>7632</v>
      </c>
      <c r="C102" t="s">
        <v>245</v>
      </c>
      <c r="D102" s="49" t="s">
        <v>246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>
        <f t="shared" si="4"/>
        <v>0</v>
      </c>
    </row>
    <row r="103" spans="2:18" x14ac:dyDescent="0.2">
      <c r="B103" s="49">
        <v>7690</v>
      </c>
      <c r="C103" t="s">
        <v>247</v>
      </c>
      <c r="D103" s="49" t="s">
        <v>248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>
        <f t="shared" si="4"/>
        <v>0</v>
      </c>
    </row>
    <row r="104" spans="2:18" x14ac:dyDescent="0.2">
      <c r="B104" s="49">
        <v>7691</v>
      </c>
      <c r="C104" t="s">
        <v>249</v>
      </c>
      <c r="D104" s="49" t="s">
        <v>250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>
        <f t="shared" si="4"/>
        <v>0</v>
      </c>
    </row>
    <row r="105" spans="2:18" x14ac:dyDescent="0.2">
      <c r="B105" s="49">
        <v>7692</v>
      </c>
      <c r="C105" t="s">
        <v>251</v>
      </c>
      <c r="D105" s="49" t="s">
        <v>252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>
        <f t="shared" si="4"/>
        <v>0</v>
      </c>
    </row>
    <row r="106" spans="2:18" x14ac:dyDescent="0.2">
      <c r="F106" s="53">
        <f>SUM(F2:F105)</f>
        <v>0</v>
      </c>
      <c r="G106" s="53">
        <f t="shared" ref="G106:R106" si="6">SUM(G2:G105)</f>
        <v>0</v>
      </c>
      <c r="H106" s="53">
        <f t="shared" si="6"/>
        <v>0</v>
      </c>
      <c r="I106" s="53">
        <f t="shared" si="6"/>
        <v>0</v>
      </c>
      <c r="J106" s="53">
        <f t="shared" si="6"/>
        <v>0</v>
      </c>
      <c r="K106" s="53">
        <f t="shared" si="6"/>
        <v>229.58333333333334</v>
      </c>
      <c r="L106" s="53">
        <f t="shared" si="6"/>
        <v>47.666666666666671</v>
      </c>
      <c r="M106" s="53">
        <f t="shared" si="6"/>
        <v>47.666666666666671</v>
      </c>
      <c r="N106" s="53">
        <f t="shared" si="6"/>
        <v>47.666666666666671</v>
      </c>
      <c r="O106" s="53">
        <f t="shared" si="6"/>
        <v>47.666666666666671</v>
      </c>
      <c r="P106" s="53">
        <f t="shared" si="6"/>
        <v>47.666666666666671</v>
      </c>
      <c r="Q106" s="53">
        <f t="shared" si="6"/>
        <v>47.666666666666671</v>
      </c>
      <c r="R106" s="53">
        <f t="shared" si="6"/>
        <v>515.58333333333337</v>
      </c>
    </row>
    <row r="108" spans="2:18" x14ac:dyDescent="0.2">
      <c r="E108" t="s">
        <v>253</v>
      </c>
      <c r="F108" s="28">
        <f>SUM(F2:F72)</f>
        <v>0</v>
      </c>
      <c r="G108" s="28">
        <f t="shared" ref="G108:R108" si="7">SUM(G2:G72)</f>
        <v>0</v>
      </c>
      <c r="H108" s="28">
        <f t="shared" si="7"/>
        <v>0</v>
      </c>
      <c r="I108" s="28">
        <f t="shared" si="7"/>
        <v>0</v>
      </c>
      <c r="J108" s="28">
        <f t="shared" si="7"/>
        <v>0</v>
      </c>
      <c r="K108" s="28">
        <f t="shared" si="7"/>
        <v>229.58333333333334</v>
      </c>
      <c r="L108" s="28">
        <f t="shared" si="7"/>
        <v>47.666666666666671</v>
      </c>
      <c r="M108" s="28">
        <f t="shared" si="7"/>
        <v>47.666666666666671</v>
      </c>
      <c r="N108" s="28">
        <f t="shared" si="7"/>
        <v>47.666666666666671</v>
      </c>
      <c r="O108" s="28">
        <f t="shared" si="7"/>
        <v>47.666666666666671</v>
      </c>
      <c r="P108" s="28">
        <f t="shared" si="7"/>
        <v>47.666666666666671</v>
      </c>
      <c r="Q108" s="28">
        <f t="shared" si="7"/>
        <v>47.666666666666671</v>
      </c>
      <c r="R108" s="28">
        <f t="shared" si="7"/>
        <v>515.58333333333337</v>
      </c>
    </row>
    <row r="109" spans="2:18" x14ac:dyDescent="0.2">
      <c r="E109" t="s">
        <v>254</v>
      </c>
      <c r="F109" s="28">
        <f>SUM(F73:F105)</f>
        <v>0</v>
      </c>
      <c r="G109" s="28">
        <f t="shared" ref="G109:R109" si="8">SUM(G73:G105)</f>
        <v>0</v>
      </c>
      <c r="H109" s="28">
        <f t="shared" si="8"/>
        <v>0</v>
      </c>
      <c r="I109" s="28">
        <f t="shared" si="8"/>
        <v>0</v>
      </c>
      <c r="J109" s="28">
        <f t="shared" si="8"/>
        <v>0</v>
      </c>
      <c r="K109" s="28">
        <f t="shared" si="8"/>
        <v>0</v>
      </c>
      <c r="L109" s="28">
        <f t="shared" si="8"/>
        <v>0</v>
      </c>
      <c r="M109" s="28">
        <f t="shared" si="8"/>
        <v>0</v>
      </c>
      <c r="N109" s="28">
        <f t="shared" si="8"/>
        <v>0</v>
      </c>
      <c r="O109" s="28">
        <f t="shared" si="8"/>
        <v>0</v>
      </c>
      <c r="P109" s="28">
        <f t="shared" si="8"/>
        <v>0</v>
      </c>
      <c r="Q109" s="28">
        <f t="shared" si="8"/>
        <v>0</v>
      </c>
      <c r="R109" s="28">
        <f t="shared" si="8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5069-DDF4-4BF3-91F6-BC2F14E7369E}">
  <dimension ref="A1:J15"/>
  <sheetViews>
    <sheetView workbookViewId="0">
      <selection activeCell="B15" sqref="B15"/>
    </sheetView>
  </sheetViews>
  <sheetFormatPr defaultRowHeight="15" x14ac:dyDescent="0.2"/>
  <cols>
    <col min="1" max="1" width="27.171875" bestFit="1" customWidth="1"/>
    <col min="2" max="2" width="23.67578125" customWidth="1"/>
  </cols>
  <sheetData>
    <row r="1" spans="1:10" x14ac:dyDescent="0.2">
      <c r="A1" s="56" t="s">
        <v>266</v>
      </c>
      <c r="B1" s="56" t="s">
        <v>267</v>
      </c>
      <c r="C1" s="56">
        <v>2026</v>
      </c>
      <c r="D1" s="56"/>
      <c r="E1" s="56" t="s">
        <v>268</v>
      </c>
      <c r="F1" s="56" t="s">
        <v>269</v>
      </c>
      <c r="G1" s="56" t="s">
        <v>270</v>
      </c>
      <c r="H1" s="56" t="s">
        <v>271</v>
      </c>
      <c r="I1" s="21"/>
      <c r="J1">
        <v>2027</v>
      </c>
    </row>
    <row r="2" spans="1:10" x14ac:dyDescent="0.2">
      <c r="A2" s="2"/>
      <c r="B2" s="2"/>
      <c r="C2" s="2"/>
      <c r="D2" s="2"/>
      <c r="E2" s="2"/>
      <c r="F2" s="2"/>
      <c r="G2" s="2"/>
      <c r="H2" s="2"/>
    </row>
    <row r="3" spans="1:10" x14ac:dyDescent="0.2">
      <c r="A3" s="57" t="s">
        <v>272</v>
      </c>
      <c r="B3" s="57" t="s">
        <v>273</v>
      </c>
      <c r="C3" s="57">
        <v>200</v>
      </c>
      <c r="D3" s="2"/>
      <c r="E3" s="57">
        <v>200</v>
      </c>
      <c r="F3" s="57"/>
      <c r="G3" s="57"/>
      <c r="H3" s="57"/>
    </row>
    <row r="4" spans="1:10" x14ac:dyDescent="0.2">
      <c r="A4" s="57" t="s">
        <v>274</v>
      </c>
      <c r="B4" s="57" t="s">
        <v>273</v>
      </c>
      <c r="C4" s="57">
        <v>400</v>
      </c>
      <c r="D4" s="2"/>
      <c r="E4" s="57">
        <v>200</v>
      </c>
      <c r="F4" s="57">
        <v>200</v>
      </c>
      <c r="G4" s="57"/>
      <c r="H4" s="57"/>
    </row>
    <row r="5" spans="1:10" x14ac:dyDescent="0.2">
      <c r="A5" s="57" t="s">
        <v>275</v>
      </c>
      <c r="B5" s="57" t="s">
        <v>273</v>
      </c>
      <c r="C5" s="57">
        <v>400</v>
      </c>
      <c r="D5" s="2"/>
      <c r="E5" s="57"/>
      <c r="F5" s="57">
        <v>200</v>
      </c>
      <c r="G5" s="57">
        <v>100</v>
      </c>
      <c r="H5" s="57">
        <v>100</v>
      </c>
    </row>
    <row r="6" spans="1:10" x14ac:dyDescent="0.2">
      <c r="A6" s="57" t="s">
        <v>276</v>
      </c>
      <c r="B6" s="57" t="s">
        <v>273</v>
      </c>
      <c r="C6" s="57">
        <v>300</v>
      </c>
      <c r="D6" s="2"/>
      <c r="E6" s="57">
        <v>100</v>
      </c>
      <c r="F6" s="57">
        <v>100</v>
      </c>
      <c r="G6" s="57">
        <v>100</v>
      </c>
      <c r="H6" s="57"/>
    </row>
    <row r="7" spans="1:10" x14ac:dyDescent="0.2">
      <c r="A7" s="57" t="s">
        <v>277</v>
      </c>
      <c r="B7" s="57" t="s">
        <v>278</v>
      </c>
      <c r="C7" s="57">
        <v>1100</v>
      </c>
      <c r="D7" s="2"/>
      <c r="E7" s="57">
        <v>100</v>
      </c>
      <c r="F7" s="57">
        <v>200</v>
      </c>
      <c r="G7" s="57">
        <v>300</v>
      </c>
      <c r="H7" s="57">
        <v>500</v>
      </c>
      <c r="J7">
        <v>500</v>
      </c>
    </row>
    <row r="8" spans="1:10" x14ac:dyDescent="0.2">
      <c r="A8" s="58" t="s">
        <v>279</v>
      </c>
      <c r="B8" s="58"/>
      <c r="C8" s="58">
        <v>2400</v>
      </c>
      <c r="D8" s="13"/>
      <c r="E8" s="58">
        <v>600</v>
      </c>
      <c r="F8" s="58">
        <v>700</v>
      </c>
      <c r="G8" s="58">
        <v>500</v>
      </c>
      <c r="H8" s="58">
        <v>600</v>
      </c>
    </row>
    <row r="9" spans="1:10" x14ac:dyDescent="0.2">
      <c r="A9" s="2"/>
      <c r="B9" s="2"/>
      <c r="C9" s="2"/>
      <c r="D9" s="2"/>
      <c r="E9" s="2"/>
      <c r="F9" s="2"/>
      <c r="G9" s="2"/>
      <c r="H9" s="2"/>
    </row>
    <row r="10" spans="1:10" x14ac:dyDescent="0.2">
      <c r="A10" s="57" t="s">
        <v>280</v>
      </c>
      <c r="B10" s="57" t="s">
        <v>281</v>
      </c>
      <c r="C10" s="57">
        <v>500</v>
      </c>
      <c r="D10" s="2"/>
      <c r="E10" s="57">
        <v>500</v>
      </c>
      <c r="F10" s="57"/>
      <c r="G10" s="57"/>
      <c r="H10" s="57"/>
    </row>
    <row r="11" spans="1:10" x14ac:dyDescent="0.2">
      <c r="A11" s="57" t="s">
        <v>282</v>
      </c>
      <c r="B11" s="57" t="s">
        <v>283</v>
      </c>
      <c r="C11" s="57">
        <v>150</v>
      </c>
      <c r="D11" s="2"/>
      <c r="E11" s="57"/>
      <c r="F11" s="57">
        <v>150</v>
      </c>
      <c r="G11" s="57"/>
      <c r="H11" s="57"/>
    </row>
    <row r="12" spans="1:10" x14ac:dyDescent="0.2">
      <c r="A12" s="57" t="s">
        <v>284</v>
      </c>
      <c r="B12" s="57" t="s">
        <v>283</v>
      </c>
      <c r="C12" s="57">
        <v>500</v>
      </c>
      <c r="D12" s="2"/>
      <c r="E12" s="57">
        <v>125</v>
      </c>
      <c r="F12" s="57">
        <v>125</v>
      </c>
      <c r="G12" s="57">
        <v>125</v>
      </c>
      <c r="H12" s="57">
        <v>125</v>
      </c>
    </row>
    <row r="13" spans="1:10" x14ac:dyDescent="0.2">
      <c r="A13" s="58" t="s">
        <v>285</v>
      </c>
      <c r="B13" s="59"/>
      <c r="C13" s="58">
        <v>1150</v>
      </c>
      <c r="D13" s="13"/>
      <c r="E13" s="58">
        <v>625</v>
      </c>
      <c r="F13" s="58">
        <v>275</v>
      </c>
      <c r="G13" s="58">
        <v>125</v>
      </c>
      <c r="H13" s="58">
        <v>125</v>
      </c>
    </row>
    <row r="14" spans="1:10" x14ac:dyDescent="0.2">
      <c r="A14" s="2"/>
      <c r="B14" s="2"/>
      <c r="C14" s="2"/>
      <c r="D14" s="2"/>
      <c r="E14" s="2"/>
      <c r="F14" s="2"/>
      <c r="G14" s="2"/>
      <c r="H14" s="2"/>
    </row>
    <row r="15" spans="1:10" x14ac:dyDescent="0.2">
      <c r="A15" s="58" t="s">
        <v>286</v>
      </c>
      <c r="B15" s="57"/>
      <c r="C15" s="58">
        <v>3550</v>
      </c>
      <c r="D15" s="60"/>
      <c r="E15" s="61">
        <v>1225</v>
      </c>
      <c r="F15" s="58">
        <v>975</v>
      </c>
      <c r="G15" s="58">
        <v>625</v>
      </c>
      <c r="H15" s="58">
        <v>725</v>
      </c>
      <c r="I15" s="21"/>
      <c r="J15" s="2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RR BU Koncern legal IC UVXair</vt:lpstr>
      <vt:lpstr>Sälj</vt:lpstr>
      <vt:lpstr>Produktion dir+lager</vt:lpstr>
      <vt:lpstr>Produktion OH </vt:lpstr>
      <vt:lpstr>Produktutveckling</vt:lpstr>
      <vt:lpstr>Admin</vt:lpstr>
      <vt:lpstr>Ny lokal</vt:lpstr>
      <vt:lpstr>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Karlsson</dc:creator>
  <cp:lastModifiedBy>Erik Karlsson</cp:lastModifiedBy>
  <dcterms:created xsi:type="dcterms:W3CDTF">2026-02-28T13:56:14Z</dcterms:created>
  <dcterms:modified xsi:type="dcterms:W3CDTF">2026-02-28T14:13:27Z</dcterms:modified>
</cp:coreProperties>
</file>